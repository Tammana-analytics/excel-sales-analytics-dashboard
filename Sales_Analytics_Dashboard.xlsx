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35" windowWidth="20055" windowHeight="7695" firstSheet="4" activeTab="7"/>
  </bookViews>
  <sheets>
    <sheet name="Sheet2" sheetId="5" r:id="rId1"/>
    <sheet name="Sheet1" sheetId="4" r:id="rId2"/>
    <sheet name="Sheet4" sheetId="6" r:id="rId3"/>
    <sheet name="Sheet5" sheetId="7" r:id="rId4"/>
    <sheet name="Sheet6" sheetId="8" r:id="rId5"/>
    <sheet name="Sheet7" sheetId="9" r:id="rId6"/>
    <sheet name="Raw data" sheetId="1" r:id="rId7"/>
    <sheet name="Analysis" sheetId="2" r:id="rId8"/>
    <sheet name="dashboard" sheetId="10" r:id="rId9"/>
    <sheet name="Sheet9" sheetId="11" r:id="rId10"/>
    <sheet name="Sheet10" sheetId="12" r:id="rId11"/>
  </sheets>
  <calcPr calcId="124519"/>
  <pivotCaches>
    <pivotCache cacheId="0" r:id="rId12"/>
  </pivotCaches>
</workbook>
</file>

<file path=xl/calcChain.xml><?xml version="1.0" encoding="utf-8"?>
<calcChain xmlns="http://schemas.openxmlformats.org/spreadsheetml/2006/main">
  <c r="L2" i="1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E11" i="2"/>
  <c r="E12"/>
  <c r="E10"/>
  <c r="K5"/>
  <c r="K6"/>
  <c r="K7"/>
  <c r="K4"/>
  <c r="H5"/>
  <c r="H6"/>
  <c r="H7"/>
  <c r="H4"/>
  <c r="E4"/>
  <c r="E3"/>
  <c r="E5" s="1"/>
  <c r="B14"/>
  <c r="B15"/>
  <c r="B16"/>
  <c r="B17"/>
  <c r="B18"/>
  <c r="B13"/>
  <c r="B8"/>
  <c r="B5"/>
  <c r="B4" i="10" s="1"/>
  <c r="B3" i="2"/>
  <c r="A4" i="10" s="1"/>
  <c r="E15" i="2" l="1"/>
  <c r="B10"/>
  <c r="D4" i="10" s="1"/>
  <c r="E18" i="2"/>
  <c r="E17"/>
  <c r="C4" i="10"/>
  <c r="E16" i="2"/>
</calcChain>
</file>

<file path=xl/sharedStrings.xml><?xml version="1.0" encoding="utf-8"?>
<sst xmlns="http://schemas.openxmlformats.org/spreadsheetml/2006/main" count="456" uniqueCount="111">
  <si>
    <t>Order ID</t>
  </si>
  <si>
    <t>Order Date</t>
  </si>
  <si>
    <t>19/01/2026</t>
  </si>
  <si>
    <t>15/02/2026</t>
  </si>
  <si>
    <t>27/02/2026</t>
  </si>
  <si>
    <t>23/03/2026</t>
  </si>
  <si>
    <t>Customer Name</t>
  </si>
  <si>
    <t>Aarav</t>
  </si>
  <si>
    <t>Priya</t>
  </si>
  <si>
    <t>Rohan</t>
  </si>
  <si>
    <t>Sana</t>
  </si>
  <si>
    <t>Aditya</t>
  </si>
  <si>
    <t>Fatima</t>
  </si>
  <si>
    <t>Arjun</t>
  </si>
  <si>
    <t>Anaya</t>
  </si>
  <si>
    <t>Kabir</t>
  </si>
  <si>
    <t>Ishita</t>
  </si>
  <si>
    <t>Vihaan</t>
  </si>
  <si>
    <t>Zoya</t>
  </si>
  <si>
    <t>Reyansh</t>
  </si>
  <si>
    <t>Meera</t>
  </si>
  <si>
    <t>Dev</t>
  </si>
  <si>
    <t>Aisha</t>
  </si>
  <si>
    <t>Om</t>
  </si>
  <si>
    <t>Diya</t>
  </si>
  <si>
    <t>Arnav</t>
  </si>
  <si>
    <t>Myra</t>
  </si>
  <si>
    <t>Ayaan</t>
  </si>
  <si>
    <t>Kiara</t>
  </si>
  <si>
    <t>Rudra</t>
  </si>
  <si>
    <t>Shruti</t>
  </si>
  <si>
    <t>Yash</t>
  </si>
  <si>
    <t>Naina</t>
  </si>
  <si>
    <t>Advait</t>
  </si>
  <si>
    <t>Ira</t>
  </si>
  <si>
    <t>Veer</t>
  </si>
  <si>
    <t>Samaira</t>
  </si>
  <si>
    <t>Krish</t>
  </si>
  <si>
    <t>Tara</t>
  </si>
  <si>
    <t>Devansh</t>
  </si>
  <si>
    <t>Alina</t>
  </si>
  <si>
    <t>Raj</t>
  </si>
  <si>
    <t>Hiba</t>
  </si>
  <si>
    <t>Parth</t>
  </si>
  <si>
    <t>Riya</t>
  </si>
  <si>
    <t>Ansh</t>
  </si>
  <si>
    <t>Mahi</t>
  </si>
  <si>
    <t>Shiv</t>
  </si>
  <si>
    <t>Ayesha</t>
  </si>
  <si>
    <t>Ronit</t>
  </si>
  <si>
    <t>Sara</t>
  </si>
  <si>
    <t>Kunal</t>
  </si>
  <si>
    <t>Simran</t>
  </si>
  <si>
    <t>Harsh</t>
  </si>
  <si>
    <t>Noor</t>
  </si>
  <si>
    <t>Manav</t>
  </si>
  <si>
    <t>Anvi</t>
  </si>
  <si>
    <t>City</t>
  </si>
  <si>
    <t>Pune</t>
  </si>
  <si>
    <t>Mumbai</t>
  </si>
  <si>
    <t>Nashik</t>
  </si>
  <si>
    <t>Nagpur</t>
  </si>
  <si>
    <t>Product</t>
  </si>
  <si>
    <t>Laptop</t>
  </si>
  <si>
    <t>Mouse</t>
  </si>
  <si>
    <t>Keyboard</t>
  </si>
  <si>
    <t>Monitor</t>
  </si>
  <si>
    <t>Headphones</t>
  </si>
  <si>
    <t>Printer</t>
  </si>
  <si>
    <t>Category</t>
  </si>
  <si>
    <t>Electronics</t>
  </si>
  <si>
    <t>Accessories</t>
  </si>
  <si>
    <t>Quantity</t>
  </si>
  <si>
    <t>Unit Price</t>
  </si>
  <si>
    <t>Sales</t>
  </si>
  <si>
    <t>Payment Mode</t>
  </si>
  <si>
    <t>UPI</t>
  </si>
  <si>
    <t>Cash</t>
  </si>
  <si>
    <t>Card</t>
  </si>
  <si>
    <t>Salesperson</t>
  </si>
  <si>
    <t>Rahul</t>
  </si>
  <si>
    <t>Neha</t>
  </si>
  <si>
    <t>Amit</t>
  </si>
  <si>
    <t>Sales analysis</t>
  </si>
  <si>
    <t>Total</t>
  </si>
  <si>
    <t>Total orders</t>
  </si>
  <si>
    <t>Total quantity sold</t>
  </si>
  <si>
    <t>Average order value</t>
  </si>
  <si>
    <t>Total sale</t>
  </si>
  <si>
    <t>accessories</t>
  </si>
  <si>
    <t xml:space="preserve">City </t>
  </si>
  <si>
    <t>Total Sales</t>
  </si>
  <si>
    <t>Month</t>
  </si>
  <si>
    <t>January</t>
  </si>
  <si>
    <t>February</t>
  </si>
  <si>
    <t>March</t>
  </si>
  <si>
    <t>April</t>
  </si>
  <si>
    <t>Row Labels</t>
  </si>
  <si>
    <t>Grand Total</t>
  </si>
  <si>
    <t>Sum of Sales</t>
  </si>
  <si>
    <t>SALES ANALYTICS DASHBOARD</t>
  </si>
  <si>
    <t>TOTAL SALES</t>
  </si>
  <si>
    <t>TOTAL QUANTITY</t>
  </si>
  <si>
    <t>TOTAL ORDERS</t>
  </si>
  <si>
    <t>AVERAGE ORDER VALUE</t>
  </si>
  <si>
    <t>Business Insights</t>
  </si>
  <si>
    <t>Laptop generated the highest sales among all products.</t>
  </si>
  <si>
    <t>Electronics contributed the majority of total sales.</t>
  </si>
  <si>
    <t>Pune was the highest-performing city by sales.</t>
  </si>
  <si>
    <t>Rahul generated the highest sales among the salespeople.</t>
  </si>
  <si>
    <t>March recorded the highest monthly sales</t>
  </si>
</sst>
</file>

<file path=xl/styles.xml><?xml version="1.0" encoding="utf-8"?>
<styleSheet xmlns="http://schemas.openxmlformats.org/spreadsheetml/2006/main">
  <numFmts count="1">
    <numFmt numFmtId="164" formatCode="[$₹-4009]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[Sales_Analytics_Dashboard.xlsx]Sheet1!PivotTable1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Product</a:t>
            </a:r>
          </a:p>
        </c:rich>
      </c:tx>
      <c:layout>
        <c:manualLayout>
          <c:xMode val="edge"/>
          <c:yMode val="edge"/>
          <c:x val="0.19788931788931791"/>
          <c:y val="4.3839520059992504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67550</c:v>
                </c:pt>
                <c:pt idx="1">
                  <c:v>47500</c:v>
                </c:pt>
                <c:pt idx="2">
                  <c:v>596000</c:v>
                </c:pt>
                <c:pt idx="3">
                  <c:v>141200</c:v>
                </c:pt>
                <c:pt idx="4">
                  <c:v>35810</c:v>
                </c:pt>
                <c:pt idx="5">
                  <c:v>165000</c:v>
                </c:pt>
              </c:numCache>
            </c:numRef>
          </c:val>
        </c:ser>
        <c:axId val="82060800"/>
        <c:axId val="82062336"/>
      </c:barChart>
      <c:catAx>
        <c:axId val="82060800"/>
        <c:scaling>
          <c:orientation val="minMax"/>
        </c:scaling>
        <c:axPos val="b"/>
        <c:tickLblPos val="nextTo"/>
        <c:crossAx val="82062336"/>
        <c:crosses val="autoZero"/>
        <c:auto val="1"/>
        <c:lblAlgn val="ctr"/>
        <c:lblOffset val="100"/>
      </c:catAx>
      <c:valAx>
        <c:axId val="82062336"/>
        <c:scaling>
          <c:orientation val="minMax"/>
        </c:scaling>
        <c:axPos val="l"/>
        <c:majorGridlines/>
        <c:numFmt formatCode="General" sourceLinked="1"/>
        <c:tickLblPos val="nextTo"/>
        <c:crossAx val="8206080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[Sales_Analytics_Dashboard.xlsx]Sheet4!PivotTable1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City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Sheet4!$A$4:$A$8</c:f>
              <c:strCache>
                <c:ptCount val="4"/>
                <c:pt idx="0">
                  <c:v>Mumbai</c:v>
                </c:pt>
                <c:pt idx="1">
                  <c:v>Nagpur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309940</c:v>
                </c:pt>
                <c:pt idx="1">
                  <c:v>145000</c:v>
                </c:pt>
                <c:pt idx="2">
                  <c:v>161900</c:v>
                </c:pt>
                <c:pt idx="3">
                  <c:v>436220</c:v>
                </c:pt>
              </c:numCache>
            </c:numRef>
          </c:val>
        </c:ser>
        <c:axId val="82082816"/>
        <c:axId val="82100992"/>
      </c:barChart>
      <c:catAx>
        <c:axId val="82082816"/>
        <c:scaling>
          <c:orientation val="minMax"/>
        </c:scaling>
        <c:axPos val="b"/>
        <c:tickLblPos val="nextTo"/>
        <c:crossAx val="82100992"/>
        <c:crosses val="autoZero"/>
        <c:auto val="1"/>
        <c:lblAlgn val="ctr"/>
        <c:lblOffset val="100"/>
      </c:catAx>
      <c:valAx>
        <c:axId val="82100992"/>
        <c:scaling>
          <c:orientation val="minMax"/>
        </c:scaling>
        <c:axPos val="l"/>
        <c:majorGridlines/>
        <c:numFmt formatCode="General" sourceLinked="1"/>
        <c:tickLblPos val="nextTo"/>
        <c:crossAx val="8208281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[Sales_Analytics_Dashboard.xlsx]Sheet5!PivotTable2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</a:p>
        </c:rich>
      </c:tx>
      <c:layout>
        <c:manualLayout>
          <c:xMode val="edge"/>
          <c:yMode val="edge"/>
          <c:x val="0.41762917933130711"/>
          <c:y val="0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150860</c:v>
                </c:pt>
                <c:pt idx="1">
                  <c:v>902200</c:v>
                </c:pt>
              </c:numCache>
            </c:numRef>
          </c:val>
        </c:ser>
      </c:pie3DChart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[Sales_Analytics_Dashboard.xlsx]Sheet6!PivotTable3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Salesperson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338100</c:v>
                </c:pt>
                <c:pt idx="1">
                  <c:v>180290</c:v>
                </c:pt>
                <c:pt idx="2">
                  <c:v>192650</c:v>
                </c:pt>
                <c:pt idx="3">
                  <c:v>342020</c:v>
                </c:pt>
              </c:numCache>
            </c:numRef>
          </c:val>
        </c:ser>
        <c:axId val="82123392"/>
        <c:axId val="82169856"/>
      </c:barChart>
      <c:catAx>
        <c:axId val="82123392"/>
        <c:scaling>
          <c:orientation val="minMax"/>
        </c:scaling>
        <c:axPos val="b"/>
        <c:tickLblPos val="nextTo"/>
        <c:crossAx val="82169856"/>
        <c:crosses val="autoZero"/>
        <c:auto val="1"/>
        <c:lblAlgn val="ctr"/>
        <c:lblOffset val="100"/>
      </c:catAx>
      <c:valAx>
        <c:axId val="82169856"/>
        <c:scaling>
          <c:orientation val="minMax"/>
        </c:scaling>
        <c:axPos val="l"/>
        <c:majorGridlines/>
        <c:numFmt formatCode="General" sourceLinked="1"/>
        <c:tickLblPos val="nextTo"/>
        <c:crossAx val="821233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[Sales_Analytics_Dashboard.xlsx]Sheet7!PivotTable4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12407532999980841"/>
          <c:y val="7.3170731707317069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535682127325352"/>
          <c:y val="0.3177037321554318"/>
          <c:w val="0.59474031074582834"/>
          <c:h val="0.45887459189552543"/>
        </c:manualLayout>
      </c:layout>
      <c:lineChart>
        <c:grouping val="standard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Sheet7!$A$4:$A$8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305300</c:v>
                </c:pt>
                <c:pt idx="1">
                  <c:v>295300</c:v>
                </c:pt>
                <c:pt idx="2">
                  <c:v>341960</c:v>
                </c:pt>
                <c:pt idx="3">
                  <c:v>110500</c:v>
                </c:pt>
              </c:numCache>
            </c:numRef>
          </c:val>
        </c:ser>
        <c:marker val="1"/>
        <c:axId val="82181504"/>
        <c:axId val="82203776"/>
      </c:lineChart>
      <c:catAx>
        <c:axId val="82181504"/>
        <c:scaling>
          <c:orientation val="minMax"/>
        </c:scaling>
        <c:axPos val="b"/>
        <c:tickLblPos val="nextTo"/>
        <c:crossAx val="82203776"/>
        <c:crosses val="autoZero"/>
        <c:auto val="1"/>
        <c:lblAlgn val="ctr"/>
        <c:lblOffset val="100"/>
      </c:catAx>
      <c:valAx>
        <c:axId val="82203776"/>
        <c:scaling>
          <c:orientation val="minMax"/>
        </c:scaling>
        <c:axPos val="l"/>
        <c:majorGridlines/>
        <c:numFmt formatCode="General" sourceLinked="1"/>
        <c:tickLblPos val="nextTo"/>
        <c:crossAx val="8218150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5</xdr:row>
      <xdr:rowOff>95250</xdr:rowOff>
    </xdr:from>
    <xdr:to>
      <xdr:col>4</xdr:col>
      <xdr:colOff>361950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5</xdr:row>
      <xdr:rowOff>85725</xdr:rowOff>
    </xdr:from>
    <xdr:to>
      <xdr:col>10</xdr:col>
      <xdr:colOff>352425</xdr:colOff>
      <xdr:row>14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16</xdr:row>
      <xdr:rowOff>152400</xdr:rowOff>
    </xdr:from>
    <xdr:to>
      <xdr:col>4</xdr:col>
      <xdr:colOff>323849</xdr:colOff>
      <xdr:row>25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28575</xdr:colOff>
      <xdr:row>16</xdr:row>
      <xdr:rowOff>9525</xdr:rowOff>
    </xdr:from>
    <xdr:to>
      <xdr:col>10</xdr:col>
      <xdr:colOff>285750</xdr:colOff>
      <xdr:row>24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438150</xdr:colOff>
      <xdr:row>11</xdr:row>
      <xdr:rowOff>19050</xdr:rowOff>
    </xdr:from>
    <xdr:to>
      <xdr:col>16</xdr:col>
      <xdr:colOff>0</xdr:colOff>
      <xdr:row>19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02.770478240738" createdVersion="3" refreshedVersion="3" minRefreshableVersion="3" recordCount="50">
  <cacheSource type="worksheet">
    <worksheetSource name="Salesdata"/>
  </cacheSource>
  <cacheFields count="12">
    <cacheField name="Order ID" numFmtId="0">
      <sharedItems containsSemiMixedTypes="0" containsString="0" containsNumber="1" containsInteger="1" minValue="1001" maxValue="1050"/>
    </cacheField>
    <cacheField name="Order Date" numFmtId="14">
      <sharedItems containsSemiMixedTypes="0" containsNonDate="0" containsDate="1" containsString="0" minDate="2026-01-01T00:00:00" maxDate="2026-04-08T00:00:00"/>
    </cacheField>
    <cacheField name="Customer Name" numFmtId="0">
      <sharedItems/>
    </cacheField>
    <cacheField name="City" numFmtId="0">
      <sharedItems count="4">
        <s v="Pune"/>
        <s v="Mumbai"/>
        <s v="Nashik"/>
        <s v="Nagpur"/>
      </sharedItems>
    </cacheField>
    <cacheField name="Product" numFmtId="0">
      <sharedItems count="6">
        <s v="Laptop"/>
        <s v="Mouse"/>
        <s v="Keyboard"/>
        <s v="Monitor"/>
        <s v="Headphones"/>
        <s v="Printer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750" maxValue="63000"/>
    </cacheField>
    <cacheField name="Sales" numFmtId="0">
      <sharedItems containsSemiMixedTypes="0" containsString="0" containsNumber="1" containsInteger="1" minValue="2400" maxValue="63000"/>
    </cacheField>
    <cacheField name="Payment Mode" numFmtId="0">
      <sharedItems/>
    </cacheField>
    <cacheField name="Salesperson" numFmtId="0">
      <sharedItems count="4">
        <s v="Rahul"/>
        <s v="Neha"/>
        <s v="Amit"/>
        <s v="Priya"/>
      </sharedItems>
    </cacheField>
    <cacheField name="Month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d v="2026-01-01T00:00:00"/>
    <s v="Aarav"/>
    <x v="0"/>
    <x v="0"/>
    <x v="0"/>
    <n v="1"/>
    <n v="55000"/>
    <n v="55000"/>
    <s v="UPI"/>
    <x v="0"/>
    <x v="0"/>
  </r>
  <r>
    <n v="1002"/>
    <d v="2026-01-02T00:00:00"/>
    <s v="Priya"/>
    <x v="1"/>
    <x v="1"/>
    <x v="1"/>
    <n v="3"/>
    <n v="800"/>
    <n v="2400"/>
    <s v="Cash"/>
    <x v="1"/>
    <x v="0"/>
  </r>
  <r>
    <n v="1003"/>
    <d v="2026-01-03T00:00:00"/>
    <s v="Rohan"/>
    <x v="2"/>
    <x v="2"/>
    <x v="1"/>
    <n v="2"/>
    <n v="1500"/>
    <n v="3000"/>
    <s v="Card"/>
    <x v="2"/>
    <x v="0"/>
  </r>
  <r>
    <n v="1004"/>
    <d v="2026-01-05T00:00:00"/>
    <s v="Sana"/>
    <x v="0"/>
    <x v="3"/>
    <x v="0"/>
    <n v="1"/>
    <n v="12000"/>
    <n v="12000"/>
    <s v="UPI"/>
    <x v="3"/>
    <x v="0"/>
  </r>
  <r>
    <n v="1005"/>
    <d v="2026-01-07T00:00:00"/>
    <s v="Aditya"/>
    <x v="1"/>
    <x v="4"/>
    <x v="1"/>
    <n v="4"/>
    <n v="2000"/>
    <n v="8000"/>
    <s v="Card"/>
    <x v="0"/>
    <x v="0"/>
  </r>
  <r>
    <n v="1006"/>
    <d v="2026-01-09T00:00:00"/>
    <s v="Fatima"/>
    <x v="0"/>
    <x v="0"/>
    <x v="0"/>
    <n v="1"/>
    <n v="62000"/>
    <n v="62000"/>
    <s v="UPI"/>
    <x v="1"/>
    <x v="0"/>
  </r>
  <r>
    <n v="1007"/>
    <d v="2026-01-11T00:00:00"/>
    <s v="Arjun"/>
    <x v="3"/>
    <x v="2"/>
    <x v="1"/>
    <n v="5"/>
    <n v="1400"/>
    <n v="7000"/>
    <s v="Cash"/>
    <x v="2"/>
    <x v="0"/>
  </r>
  <r>
    <n v="1008"/>
    <d v="2026-01-13T00:00:00"/>
    <s v="Anaya"/>
    <x v="0"/>
    <x v="5"/>
    <x v="0"/>
    <n v="1"/>
    <n v="15000"/>
    <n v="15000"/>
    <s v="Card"/>
    <x v="3"/>
    <x v="0"/>
  </r>
  <r>
    <n v="1009"/>
    <d v="2026-01-15T00:00:00"/>
    <s v="Kabir"/>
    <x v="1"/>
    <x v="1"/>
    <x v="1"/>
    <n v="6"/>
    <n v="750"/>
    <n v="4500"/>
    <s v="UPI"/>
    <x v="0"/>
    <x v="0"/>
  </r>
  <r>
    <n v="1010"/>
    <d v="2026-01-17T00:00:00"/>
    <s v="Ishita"/>
    <x v="2"/>
    <x v="3"/>
    <x v="0"/>
    <n v="2"/>
    <n v="11000"/>
    <n v="22000"/>
    <s v="Card"/>
    <x v="1"/>
    <x v="0"/>
  </r>
  <r>
    <n v="1011"/>
    <d v="2026-01-19T00:00:00"/>
    <s v="Vihaan"/>
    <x v="0"/>
    <x v="4"/>
    <x v="1"/>
    <n v="3"/>
    <n v="2200"/>
    <n v="6600"/>
    <s v="Cash"/>
    <x v="2"/>
    <x v="0"/>
  </r>
  <r>
    <n v="1012"/>
    <d v="2026-01-21T00:00:00"/>
    <s v="Zoya"/>
    <x v="1"/>
    <x v="0"/>
    <x v="0"/>
    <n v="1"/>
    <n v="58000"/>
    <n v="58000"/>
    <s v="UPI"/>
    <x v="3"/>
    <x v="0"/>
  </r>
  <r>
    <n v="1013"/>
    <d v="2026-01-23T00:00:00"/>
    <s v="Reyansh"/>
    <x v="3"/>
    <x v="5"/>
    <x v="0"/>
    <n v="2"/>
    <n v="14000"/>
    <n v="28000"/>
    <s v="Card"/>
    <x v="0"/>
    <x v="0"/>
  </r>
  <r>
    <n v="1014"/>
    <d v="2026-01-25T00:00:00"/>
    <s v="Meera"/>
    <x v="0"/>
    <x v="1"/>
    <x v="1"/>
    <n v="5"/>
    <n v="900"/>
    <n v="4500"/>
    <s v="UPI"/>
    <x v="1"/>
    <x v="0"/>
  </r>
  <r>
    <n v="1015"/>
    <d v="2026-01-27T00:00:00"/>
    <s v="Dev"/>
    <x v="1"/>
    <x v="2"/>
    <x v="1"/>
    <n v="3"/>
    <n v="1600"/>
    <n v="4800"/>
    <s v="Cash"/>
    <x v="2"/>
    <x v="0"/>
  </r>
  <r>
    <n v="1016"/>
    <d v="2026-01-29T00:00:00"/>
    <s v="Aisha"/>
    <x v="0"/>
    <x v="3"/>
    <x v="0"/>
    <n v="1"/>
    <n v="12500"/>
    <n v="12500"/>
    <s v="Card"/>
    <x v="3"/>
    <x v="0"/>
  </r>
  <r>
    <n v="1017"/>
    <d v="2026-02-01T00:00:00"/>
    <s v="Om"/>
    <x v="2"/>
    <x v="0"/>
    <x v="0"/>
    <n v="1"/>
    <n v="60000"/>
    <n v="60000"/>
    <s v="UPI"/>
    <x v="0"/>
    <x v="1"/>
  </r>
  <r>
    <n v="1018"/>
    <d v="2026-02-03T00:00:00"/>
    <s v="Diya"/>
    <x v="0"/>
    <x v="4"/>
    <x v="1"/>
    <n v="5"/>
    <n v="2100"/>
    <n v="10500"/>
    <s v="Cash"/>
    <x v="1"/>
    <x v="1"/>
  </r>
  <r>
    <n v="1019"/>
    <d v="2026-02-05T00:00:00"/>
    <s v="Arnav"/>
    <x v="1"/>
    <x v="5"/>
    <x v="0"/>
    <n v="1"/>
    <n v="15500"/>
    <n v="15500"/>
    <s v="Card"/>
    <x v="2"/>
    <x v="1"/>
  </r>
  <r>
    <n v="1020"/>
    <d v="2026-02-07T00:00:00"/>
    <s v="Myra"/>
    <x v="0"/>
    <x v="1"/>
    <x v="1"/>
    <n v="4"/>
    <n v="850"/>
    <n v="3400"/>
    <s v="UPI"/>
    <x v="3"/>
    <x v="1"/>
  </r>
  <r>
    <n v="1021"/>
    <d v="2026-02-09T00:00:00"/>
    <s v="Ayaan"/>
    <x v="3"/>
    <x v="2"/>
    <x v="1"/>
    <n v="6"/>
    <n v="1450"/>
    <n v="8700"/>
    <s v="Cash"/>
    <x v="0"/>
    <x v="1"/>
  </r>
  <r>
    <n v="1022"/>
    <d v="2026-02-11T00:00:00"/>
    <s v="Kiara"/>
    <x v="1"/>
    <x v="3"/>
    <x v="0"/>
    <n v="2"/>
    <n v="11500"/>
    <n v="23000"/>
    <s v="Card"/>
    <x v="1"/>
    <x v="1"/>
  </r>
  <r>
    <n v="1023"/>
    <d v="2026-02-13T00:00:00"/>
    <s v="Rudra"/>
    <x v="0"/>
    <x v="0"/>
    <x v="0"/>
    <n v="1"/>
    <n v="57000"/>
    <n v="57000"/>
    <s v="UPI"/>
    <x v="2"/>
    <x v="1"/>
  </r>
  <r>
    <n v="1024"/>
    <d v="2026-02-15T00:00:00"/>
    <s v="Shruti"/>
    <x v="2"/>
    <x v="4"/>
    <x v="1"/>
    <n v="2"/>
    <n v="2300"/>
    <n v="4600"/>
    <s v="Cash"/>
    <x v="3"/>
    <x v="1"/>
  </r>
  <r>
    <n v="1025"/>
    <d v="2026-02-17T00:00:00"/>
    <s v="Yash"/>
    <x v="0"/>
    <x v="5"/>
    <x v="0"/>
    <n v="1"/>
    <n v="16000"/>
    <n v="16000"/>
    <s v="Card"/>
    <x v="0"/>
    <x v="1"/>
  </r>
  <r>
    <n v="1026"/>
    <d v="2026-02-19T00:00:00"/>
    <s v="Naina"/>
    <x v="1"/>
    <x v="1"/>
    <x v="1"/>
    <n v="7"/>
    <n v="800"/>
    <n v="5600"/>
    <s v="UPI"/>
    <x v="1"/>
    <x v="1"/>
  </r>
  <r>
    <n v="1027"/>
    <d v="2026-02-21T00:00:00"/>
    <s v="Advait"/>
    <x v="0"/>
    <x v="2"/>
    <x v="1"/>
    <n v="4"/>
    <n v="1550"/>
    <n v="6200"/>
    <s v="Cash"/>
    <x v="2"/>
    <x v="1"/>
  </r>
  <r>
    <n v="1028"/>
    <d v="2026-02-23T00:00:00"/>
    <s v="Ira"/>
    <x v="3"/>
    <x v="3"/>
    <x v="0"/>
    <n v="1"/>
    <n v="11800"/>
    <n v="11800"/>
    <s v="Card"/>
    <x v="3"/>
    <x v="1"/>
  </r>
  <r>
    <n v="1029"/>
    <d v="2026-02-25T00:00:00"/>
    <s v="Veer"/>
    <x v="1"/>
    <x v="0"/>
    <x v="0"/>
    <n v="1"/>
    <n v="61000"/>
    <n v="61000"/>
    <s v="UPI"/>
    <x v="0"/>
    <x v="1"/>
  </r>
  <r>
    <n v="1030"/>
    <d v="2026-02-27T00:00:00"/>
    <s v="Samaira"/>
    <x v="0"/>
    <x v="4"/>
    <x v="1"/>
    <n v="6"/>
    <n v="2000"/>
    <n v="12000"/>
    <s v="Cash"/>
    <x v="1"/>
    <x v="1"/>
  </r>
  <r>
    <n v="1031"/>
    <d v="2026-03-01T00:00:00"/>
    <s v="Krish"/>
    <x v="1"/>
    <x v="5"/>
    <x v="0"/>
    <n v="2"/>
    <n v="15000"/>
    <n v="30000"/>
    <s v="Card"/>
    <x v="2"/>
    <x v="2"/>
  </r>
  <r>
    <n v="1032"/>
    <d v="2026-03-03T00:00:00"/>
    <s v="Tara"/>
    <x v="0"/>
    <x v="1"/>
    <x v="1"/>
    <n v="5"/>
    <n v="850"/>
    <n v="4250"/>
    <s v="UPI"/>
    <x v="3"/>
    <x v="2"/>
  </r>
  <r>
    <n v="1033"/>
    <d v="2026-03-05T00:00:00"/>
    <s v="Devansh"/>
    <x v="2"/>
    <x v="0"/>
    <x v="0"/>
    <n v="1"/>
    <n v="59000"/>
    <n v="59000"/>
    <s v="UPI"/>
    <x v="0"/>
    <x v="2"/>
  </r>
  <r>
    <n v="1034"/>
    <d v="2026-03-07T00:00:00"/>
    <s v="Alina"/>
    <x v="0"/>
    <x v="2"/>
    <x v="1"/>
    <n v="3"/>
    <n v="1500"/>
    <n v="4500"/>
    <s v="Cash"/>
    <x v="1"/>
    <x v="2"/>
  </r>
  <r>
    <n v="1035"/>
    <d v="2026-03-09T00:00:00"/>
    <s v="Raj"/>
    <x v="1"/>
    <x v="3"/>
    <x v="0"/>
    <n v="2"/>
    <n v="12000"/>
    <n v="24000"/>
    <s v="Card"/>
    <x v="2"/>
    <x v="2"/>
  </r>
  <r>
    <n v="1036"/>
    <d v="2026-03-11T00:00:00"/>
    <s v="Hiba"/>
    <x v="0"/>
    <x v="4"/>
    <x v="1"/>
    <n v="4"/>
    <n v="2150"/>
    <n v="8600"/>
    <s v="UPI"/>
    <x v="3"/>
    <x v="2"/>
  </r>
  <r>
    <n v="1037"/>
    <d v="2026-03-13T00:00:00"/>
    <s v="Parth"/>
    <x v="3"/>
    <x v="5"/>
    <x v="0"/>
    <n v="1"/>
    <n v="14500"/>
    <n v="14500"/>
    <s v="Card"/>
    <x v="0"/>
    <x v="2"/>
  </r>
  <r>
    <n v="1038"/>
    <d v="2026-03-15T00:00:00"/>
    <s v="Riya"/>
    <x v="1"/>
    <x v="1"/>
    <x v="1"/>
    <n v="8"/>
    <n v="780"/>
    <n v="6240"/>
    <s v="Cash"/>
    <x v="1"/>
    <x v="2"/>
  </r>
  <r>
    <n v="1039"/>
    <d v="2026-03-17T00:00:00"/>
    <s v="Ansh"/>
    <x v="0"/>
    <x v="0"/>
    <x v="0"/>
    <n v="1"/>
    <n v="63000"/>
    <n v="63000"/>
    <s v="UPI"/>
    <x v="2"/>
    <x v="2"/>
  </r>
  <r>
    <n v="1040"/>
    <d v="2026-03-19T00:00:00"/>
    <s v="Mahi"/>
    <x v="2"/>
    <x v="2"/>
    <x v="1"/>
    <n v="5"/>
    <n v="1500"/>
    <n v="7500"/>
    <s v="Cash"/>
    <x v="3"/>
    <x v="2"/>
  </r>
  <r>
    <n v="1041"/>
    <d v="2026-03-21T00:00:00"/>
    <s v="Shiv"/>
    <x v="1"/>
    <x v="3"/>
    <x v="0"/>
    <n v="1"/>
    <n v="11900"/>
    <n v="11900"/>
    <s v="Card"/>
    <x v="0"/>
    <x v="2"/>
  </r>
  <r>
    <n v="1042"/>
    <d v="2026-03-23T00:00:00"/>
    <s v="Ayesha"/>
    <x v="0"/>
    <x v="4"/>
    <x v="1"/>
    <n v="3"/>
    <n v="2250"/>
    <n v="6750"/>
    <s v="UPI"/>
    <x v="1"/>
    <x v="2"/>
  </r>
  <r>
    <n v="1043"/>
    <d v="2026-03-25T00:00:00"/>
    <s v="Ronit"/>
    <x v="3"/>
    <x v="0"/>
    <x v="0"/>
    <n v="1"/>
    <n v="60000"/>
    <n v="60000"/>
    <s v="Card"/>
    <x v="2"/>
    <x v="2"/>
  </r>
  <r>
    <n v="1044"/>
    <d v="2026-03-27T00:00:00"/>
    <s v="Sara"/>
    <x v="1"/>
    <x v="5"/>
    <x v="0"/>
    <n v="2"/>
    <n v="15500"/>
    <n v="31000"/>
    <s v="UPI"/>
    <x v="3"/>
    <x v="2"/>
  </r>
  <r>
    <n v="1045"/>
    <d v="2026-03-29T00:00:00"/>
    <s v="Kunal"/>
    <x v="0"/>
    <x v="1"/>
    <x v="1"/>
    <n v="6"/>
    <n v="820"/>
    <n v="4920"/>
    <s v="Cash"/>
    <x v="0"/>
    <x v="2"/>
  </r>
  <r>
    <n v="1046"/>
    <d v="2026-03-30T00:00:00"/>
    <s v="Simran"/>
    <x v="2"/>
    <x v="2"/>
    <x v="1"/>
    <n v="4"/>
    <n v="1450"/>
    <n v="5800"/>
    <s v="Card"/>
    <x v="1"/>
    <x v="2"/>
  </r>
  <r>
    <n v="1047"/>
    <d v="2026-04-01T00:00:00"/>
    <s v="Harsh"/>
    <x v="0"/>
    <x v="0"/>
    <x v="0"/>
    <n v="1"/>
    <n v="61000"/>
    <n v="61000"/>
    <s v="UPI"/>
    <x v="2"/>
    <x v="3"/>
  </r>
  <r>
    <n v="1048"/>
    <d v="2026-04-03T00:00:00"/>
    <s v="Noor"/>
    <x v="1"/>
    <x v="3"/>
    <x v="0"/>
    <n v="2"/>
    <n v="12000"/>
    <n v="24000"/>
    <s v="Card"/>
    <x v="3"/>
    <x v="3"/>
  </r>
  <r>
    <n v="1049"/>
    <d v="2026-04-05T00:00:00"/>
    <s v="Manav"/>
    <x v="0"/>
    <x v="4"/>
    <x v="1"/>
    <n v="5"/>
    <n v="2100"/>
    <n v="10500"/>
    <s v="Cash"/>
    <x v="0"/>
    <x v="3"/>
  </r>
  <r>
    <n v="1050"/>
    <d v="2026-04-07T00:00:00"/>
    <s v="Anvi"/>
    <x v="3"/>
    <x v="5"/>
    <x v="0"/>
    <n v="1"/>
    <n v="15000"/>
    <n v="15000"/>
    <s v="UPI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0" firstHeaderRow="1" firstDataRow="1" firstDataCol="1"/>
  <pivotFields count="12"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6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4">
        <item x="0"/>
        <item x="1"/>
        <item x="2"/>
        <item x="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K9" totalsRowShown="0">
  <autoFilter ref="A1:K9"/>
  <tableColumns count="11">
    <tableColumn id="1" name="Order ID"/>
    <tableColumn id="2" name="Order Date"/>
    <tableColumn id="3" name="Customer Name"/>
    <tableColumn id="4" name="City"/>
    <tableColumn id="5" name="Product"/>
    <tableColumn id="6" name="Category"/>
    <tableColumn id="7" name="Quantity"/>
    <tableColumn id="8" name="Unit Price"/>
    <tableColumn id="9" name="Sales"/>
    <tableColumn id="10" name="Payment Mode"/>
    <tableColumn id="11" name="Salesper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Salesdata" displayName="Salesdata" ref="A1:L51" totalsRowShown="0" headerRowDxfId="2">
  <tableColumns count="12">
    <tableColumn id="1" name="Order ID"/>
    <tableColumn id="2" name="Order Date" dataDxfId="1"/>
    <tableColumn id="3" name="Customer Name"/>
    <tableColumn id="4" name="City"/>
    <tableColumn id="5" name="Product"/>
    <tableColumn id="6" name="Category"/>
    <tableColumn id="7" name="Quantity"/>
    <tableColumn id="8" name="Unit Price"/>
    <tableColumn id="9" name="Sales"/>
    <tableColumn id="10" name="Payment Mode"/>
    <tableColumn id="11" name="Salesperson"/>
    <tableColumn id="12" name="Month" dataDxfId="0">
      <calculatedColumnFormula>MONTH(Salesdata[[#This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C13" sqref="C13"/>
    </sheetView>
  </sheetViews>
  <sheetFormatPr defaultRowHeight="15"/>
  <cols>
    <col min="1" max="1" width="10.5703125" customWidth="1"/>
    <col min="2" max="2" width="12.85546875" customWidth="1"/>
    <col min="3" max="3" width="17.42578125" customWidth="1"/>
    <col min="5" max="5" width="10" customWidth="1"/>
    <col min="6" max="6" width="11" customWidth="1"/>
    <col min="7" max="7" width="10.85546875" customWidth="1"/>
    <col min="8" max="8" width="11.7109375" customWidth="1"/>
    <col min="10" max="10" width="16.5703125" customWidth="1"/>
    <col min="11" max="11" width="13.85546875" customWidth="1"/>
  </cols>
  <sheetData>
    <row r="1" spans="1:11">
      <c r="A1" t="s">
        <v>0</v>
      </c>
      <c r="B1" t="s">
        <v>1</v>
      </c>
      <c r="C1" t="s">
        <v>6</v>
      </c>
      <c r="D1" t="s">
        <v>57</v>
      </c>
      <c r="E1" t="s">
        <v>62</v>
      </c>
      <c r="F1" t="s">
        <v>69</v>
      </c>
      <c r="G1" t="s">
        <v>72</v>
      </c>
      <c r="H1" t="s">
        <v>73</v>
      </c>
      <c r="I1" t="s">
        <v>74</v>
      </c>
      <c r="J1" t="s">
        <v>75</v>
      </c>
      <c r="K1" t="s">
        <v>79</v>
      </c>
    </row>
    <row r="2" spans="1:11">
      <c r="A2">
        <v>1049</v>
      </c>
      <c r="B2" s="1">
        <v>46146</v>
      </c>
      <c r="C2" t="s">
        <v>55</v>
      </c>
      <c r="D2" t="s">
        <v>58</v>
      </c>
      <c r="E2" t="s">
        <v>67</v>
      </c>
      <c r="F2" t="s">
        <v>71</v>
      </c>
      <c r="G2">
        <v>5</v>
      </c>
      <c r="H2">
        <v>2100</v>
      </c>
      <c r="I2">
        <v>10500</v>
      </c>
      <c r="J2" t="s">
        <v>77</v>
      </c>
      <c r="K2" t="s">
        <v>80</v>
      </c>
    </row>
    <row r="3" spans="1:11">
      <c r="A3">
        <v>1042</v>
      </c>
      <c r="B3" t="s">
        <v>5</v>
      </c>
      <c r="C3" t="s">
        <v>48</v>
      </c>
      <c r="D3" t="s">
        <v>58</v>
      </c>
      <c r="E3" t="s">
        <v>67</v>
      </c>
      <c r="F3" t="s">
        <v>71</v>
      </c>
      <c r="G3">
        <v>3</v>
      </c>
      <c r="H3">
        <v>2250</v>
      </c>
      <c r="I3">
        <v>6750</v>
      </c>
      <c r="J3" t="s">
        <v>76</v>
      </c>
      <c r="K3" t="s">
        <v>81</v>
      </c>
    </row>
    <row r="4" spans="1:11">
      <c r="A4">
        <v>1036</v>
      </c>
      <c r="B4" s="1">
        <v>46329</v>
      </c>
      <c r="C4" t="s">
        <v>42</v>
      </c>
      <c r="D4" t="s">
        <v>58</v>
      </c>
      <c r="E4" t="s">
        <v>67</v>
      </c>
      <c r="F4" t="s">
        <v>71</v>
      </c>
      <c r="G4">
        <v>4</v>
      </c>
      <c r="H4">
        <v>2150</v>
      </c>
      <c r="I4">
        <v>8600</v>
      </c>
      <c r="J4" t="s">
        <v>76</v>
      </c>
      <c r="K4" t="s">
        <v>8</v>
      </c>
    </row>
    <row r="5" spans="1:11">
      <c r="A5">
        <v>1030</v>
      </c>
      <c r="B5" t="s">
        <v>4</v>
      </c>
      <c r="C5" t="s">
        <v>36</v>
      </c>
      <c r="D5" t="s">
        <v>58</v>
      </c>
      <c r="E5" t="s">
        <v>67</v>
      </c>
      <c r="F5" t="s">
        <v>71</v>
      </c>
      <c r="G5">
        <v>6</v>
      </c>
      <c r="H5">
        <v>2000</v>
      </c>
      <c r="I5">
        <v>12000</v>
      </c>
      <c r="J5" t="s">
        <v>77</v>
      </c>
      <c r="K5" t="s">
        <v>81</v>
      </c>
    </row>
    <row r="6" spans="1:11">
      <c r="A6">
        <v>1005</v>
      </c>
      <c r="B6" s="1">
        <v>46204</v>
      </c>
      <c r="C6" t="s">
        <v>11</v>
      </c>
      <c r="D6" t="s">
        <v>59</v>
      </c>
      <c r="E6" t="s">
        <v>67</v>
      </c>
      <c r="F6" t="s">
        <v>71</v>
      </c>
      <c r="G6">
        <v>4</v>
      </c>
      <c r="H6">
        <v>2000</v>
      </c>
      <c r="I6">
        <v>8000</v>
      </c>
      <c r="J6" t="s">
        <v>78</v>
      </c>
      <c r="K6" t="s">
        <v>80</v>
      </c>
    </row>
    <row r="7" spans="1:11">
      <c r="A7">
        <v>1024</v>
      </c>
      <c r="B7" t="s">
        <v>3</v>
      </c>
      <c r="C7" t="s">
        <v>30</v>
      </c>
      <c r="D7" t="s">
        <v>60</v>
      </c>
      <c r="E7" t="s">
        <v>67</v>
      </c>
      <c r="F7" t="s">
        <v>71</v>
      </c>
      <c r="G7">
        <v>2</v>
      </c>
      <c r="H7">
        <v>2300</v>
      </c>
      <c r="I7">
        <v>4600</v>
      </c>
      <c r="J7" t="s">
        <v>77</v>
      </c>
      <c r="K7" t="s">
        <v>8</v>
      </c>
    </row>
    <row r="8" spans="1:11">
      <c r="A8">
        <v>1018</v>
      </c>
      <c r="B8" s="1">
        <v>46083</v>
      </c>
      <c r="C8" t="s">
        <v>24</v>
      </c>
      <c r="D8" t="s">
        <v>58</v>
      </c>
      <c r="E8" t="s">
        <v>67</v>
      </c>
      <c r="F8" t="s">
        <v>71</v>
      </c>
      <c r="G8">
        <v>5</v>
      </c>
      <c r="H8">
        <v>2100</v>
      </c>
      <c r="I8">
        <v>10500</v>
      </c>
      <c r="J8" t="s">
        <v>77</v>
      </c>
      <c r="K8" t="s">
        <v>81</v>
      </c>
    </row>
    <row r="9" spans="1:11">
      <c r="A9">
        <v>1011</v>
      </c>
      <c r="B9" t="s">
        <v>2</v>
      </c>
      <c r="C9" t="s">
        <v>17</v>
      </c>
      <c r="D9" t="s">
        <v>58</v>
      </c>
      <c r="E9" t="s">
        <v>67</v>
      </c>
      <c r="F9" t="s">
        <v>71</v>
      </c>
      <c r="G9">
        <v>3</v>
      </c>
      <c r="H9">
        <v>2200</v>
      </c>
      <c r="I9">
        <v>6600</v>
      </c>
      <c r="J9" t="s">
        <v>77</v>
      </c>
      <c r="K9" t="s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D21" sqref="D21"/>
    </sheetView>
  </sheetViews>
  <sheetFormatPr defaultRowHeight="15"/>
  <cols>
    <col min="1" max="1" width="13.140625" customWidth="1"/>
    <col min="2" max="2" width="12.140625" customWidth="1"/>
  </cols>
  <sheetData>
    <row r="3" spans="1:2">
      <c r="A3" s="3" t="s">
        <v>97</v>
      </c>
      <c r="B3" t="s">
        <v>99</v>
      </c>
    </row>
    <row r="4" spans="1:2">
      <c r="A4" s="4" t="s">
        <v>67</v>
      </c>
      <c r="B4" s="5">
        <v>67550</v>
      </c>
    </row>
    <row r="5" spans="1:2">
      <c r="A5" s="4" t="s">
        <v>65</v>
      </c>
      <c r="B5" s="5">
        <v>47500</v>
      </c>
    </row>
    <row r="6" spans="1:2">
      <c r="A6" s="4" t="s">
        <v>63</v>
      </c>
      <c r="B6" s="5">
        <v>596000</v>
      </c>
    </row>
    <row r="7" spans="1:2">
      <c r="A7" s="4" t="s">
        <v>66</v>
      </c>
      <c r="B7" s="5">
        <v>141200</v>
      </c>
    </row>
    <row r="8" spans="1:2">
      <c r="A8" s="4" t="s">
        <v>64</v>
      </c>
      <c r="B8" s="5">
        <v>35810</v>
      </c>
    </row>
    <row r="9" spans="1:2">
      <c r="A9" s="4" t="s">
        <v>68</v>
      </c>
      <c r="B9" s="5">
        <v>165000</v>
      </c>
    </row>
    <row r="10" spans="1:2">
      <c r="A10" s="4" t="s">
        <v>98</v>
      </c>
      <c r="B10" s="5">
        <v>1053060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E20" sqref="E20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3" t="s">
        <v>97</v>
      </c>
      <c r="B3" t="s">
        <v>99</v>
      </c>
    </row>
    <row r="4" spans="1:2">
      <c r="A4" s="4" t="s">
        <v>59</v>
      </c>
      <c r="B4" s="5">
        <v>309940</v>
      </c>
    </row>
    <row r="5" spans="1:2">
      <c r="A5" s="4" t="s">
        <v>61</v>
      </c>
      <c r="B5" s="5">
        <v>145000</v>
      </c>
    </row>
    <row r="6" spans="1:2">
      <c r="A6" s="4" t="s">
        <v>60</v>
      </c>
      <c r="B6" s="5">
        <v>161900</v>
      </c>
    </row>
    <row r="7" spans="1:2">
      <c r="A7" s="4" t="s">
        <v>58</v>
      </c>
      <c r="B7" s="5">
        <v>436220</v>
      </c>
    </row>
    <row r="8" spans="1:2">
      <c r="A8" s="4" t="s">
        <v>98</v>
      </c>
      <c r="B8" s="5">
        <v>1053060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F4" sqref="F4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3" t="s">
        <v>97</v>
      </c>
      <c r="B3" t="s">
        <v>99</v>
      </c>
    </row>
    <row r="4" spans="1:2">
      <c r="A4" s="4" t="s">
        <v>71</v>
      </c>
      <c r="B4" s="5">
        <v>150860</v>
      </c>
    </row>
    <row r="5" spans="1:2">
      <c r="A5" s="4" t="s">
        <v>70</v>
      </c>
      <c r="B5" s="5">
        <v>902200</v>
      </c>
    </row>
    <row r="6" spans="1:2">
      <c r="A6" s="4" t="s">
        <v>98</v>
      </c>
      <c r="B6" s="5">
        <v>1053060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F20" sqref="F20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3" t="s">
        <v>97</v>
      </c>
      <c r="B3" t="s">
        <v>99</v>
      </c>
    </row>
    <row r="4" spans="1:2">
      <c r="A4" s="4" t="s">
        <v>82</v>
      </c>
      <c r="B4" s="5">
        <v>338100</v>
      </c>
    </row>
    <row r="5" spans="1:2">
      <c r="A5" s="4" t="s">
        <v>81</v>
      </c>
      <c r="B5" s="5">
        <v>180290</v>
      </c>
    </row>
    <row r="6" spans="1:2">
      <c r="A6" s="4" t="s">
        <v>8</v>
      </c>
      <c r="B6" s="5">
        <v>192650</v>
      </c>
    </row>
    <row r="7" spans="1:2">
      <c r="A7" s="4" t="s">
        <v>80</v>
      </c>
      <c r="B7" s="5">
        <v>342020</v>
      </c>
    </row>
    <row r="8" spans="1:2">
      <c r="A8" s="4" t="s">
        <v>98</v>
      </c>
      <c r="B8" s="5">
        <v>1053060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25" sqref="A25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3" t="s">
        <v>97</v>
      </c>
      <c r="B3" t="s">
        <v>99</v>
      </c>
    </row>
    <row r="4" spans="1:2">
      <c r="A4" s="4">
        <v>1</v>
      </c>
      <c r="B4" s="5">
        <v>305300</v>
      </c>
    </row>
    <row r="5" spans="1:2">
      <c r="A5" s="4">
        <v>2</v>
      </c>
      <c r="B5" s="5">
        <v>295300</v>
      </c>
    </row>
    <row r="6" spans="1:2">
      <c r="A6" s="4">
        <v>3</v>
      </c>
      <c r="B6" s="5">
        <v>341960</v>
      </c>
    </row>
    <row r="7" spans="1:2">
      <c r="A7" s="4">
        <v>4</v>
      </c>
      <c r="B7" s="5">
        <v>110500</v>
      </c>
    </row>
    <row r="8" spans="1:2">
      <c r="A8" s="4" t="s">
        <v>98</v>
      </c>
      <c r="B8" s="5">
        <v>1053060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topLeftCell="A2" workbookViewId="0">
      <selection activeCell="B12" sqref="B12"/>
    </sheetView>
  </sheetViews>
  <sheetFormatPr defaultRowHeight="15"/>
  <cols>
    <col min="1" max="1" width="10.5703125" customWidth="1"/>
    <col min="2" max="2" width="12.85546875" customWidth="1"/>
    <col min="3" max="3" width="17.42578125" customWidth="1"/>
    <col min="5" max="5" width="12.140625" bestFit="1" customWidth="1"/>
    <col min="6" max="6" width="11.28515625" bestFit="1" customWidth="1"/>
    <col min="7" max="7" width="10.85546875" customWidth="1"/>
    <col min="8" max="8" width="11.85546875" customWidth="1"/>
    <col min="10" max="10" width="16.7109375" customWidth="1"/>
    <col min="11" max="11" width="13.85546875" customWidth="1"/>
  </cols>
  <sheetData>
    <row r="1" spans="1:12">
      <c r="A1" s="2" t="s">
        <v>0</v>
      </c>
      <c r="B1" s="2" t="s">
        <v>1</v>
      </c>
      <c r="C1" s="2" t="s">
        <v>6</v>
      </c>
      <c r="D1" s="2" t="s">
        <v>57</v>
      </c>
      <c r="E1" s="2" t="s">
        <v>62</v>
      </c>
      <c r="F1" s="2" t="s">
        <v>69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79</v>
      </c>
      <c r="L1" s="6" t="s">
        <v>92</v>
      </c>
    </row>
    <row r="2" spans="1:12">
      <c r="A2">
        <v>1001</v>
      </c>
      <c r="B2" s="1">
        <v>46023</v>
      </c>
      <c r="C2" t="s">
        <v>7</v>
      </c>
      <c r="D2" t="s">
        <v>58</v>
      </c>
      <c r="E2" t="s">
        <v>63</v>
      </c>
      <c r="F2" t="s">
        <v>70</v>
      </c>
      <c r="G2">
        <v>1</v>
      </c>
      <c r="H2">
        <v>55000</v>
      </c>
      <c r="I2">
        <v>55000</v>
      </c>
      <c r="J2" t="s">
        <v>76</v>
      </c>
      <c r="K2" t="s">
        <v>80</v>
      </c>
      <c r="L2" s="5">
        <f>MONTH(Salesdata[[#This Row],[Order Date]])</f>
        <v>1</v>
      </c>
    </row>
    <row r="3" spans="1:12">
      <c r="A3">
        <v>1002</v>
      </c>
      <c r="B3" s="1">
        <v>46024</v>
      </c>
      <c r="C3" t="s">
        <v>8</v>
      </c>
      <c r="D3" t="s">
        <v>59</v>
      </c>
      <c r="E3" t="s">
        <v>64</v>
      </c>
      <c r="F3" t="s">
        <v>71</v>
      </c>
      <c r="G3">
        <v>3</v>
      </c>
      <c r="H3">
        <v>800</v>
      </c>
      <c r="I3">
        <v>2400</v>
      </c>
      <c r="J3" t="s">
        <v>77</v>
      </c>
      <c r="K3" t="s">
        <v>81</v>
      </c>
      <c r="L3" s="5">
        <f>MONTH(Salesdata[[#This Row],[Order Date]])</f>
        <v>1</v>
      </c>
    </row>
    <row r="4" spans="1:12">
      <c r="A4">
        <v>1003</v>
      </c>
      <c r="B4" s="1">
        <v>46025</v>
      </c>
      <c r="C4" t="s">
        <v>9</v>
      </c>
      <c r="D4" t="s">
        <v>60</v>
      </c>
      <c r="E4" t="s">
        <v>65</v>
      </c>
      <c r="F4" t="s">
        <v>71</v>
      </c>
      <c r="G4">
        <v>2</v>
      </c>
      <c r="H4">
        <v>1500</v>
      </c>
      <c r="I4">
        <v>3000</v>
      </c>
      <c r="J4" t="s">
        <v>78</v>
      </c>
      <c r="K4" t="s">
        <v>82</v>
      </c>
      <c r="L4" s="5">
        <f>MONTH(Salesdata[[#This Row],[Order Date]])</f>
        <v>1</v>
      </c>
    </row>
    <row r="5" spans="1:12">
      <c r="A5">
        <v>1004</v>
      </c>
      <c r="B5" s="1">
        <v>46027</v>
      </c>
      <c r="C5" t="s">
        <v>10</v>
      </c>
      <c r="D5" t="s">
        <v>58</v>
      </c>
      <c r="E5" t="s">
        <v>66</v>
      </c>
      <c r="F5" t="s">
        <v>70</v>
      </c>
      <c r="G5">
        <v>1</v>
      </c>
      <c r="H5">
        <v>12000</v>
      </c>
      <c r="I5">
        <v>12000</v>
      </c>
      <c r="J5" t="s">
        <v>76</v>
      </c>
      <c r="K5" t="s">
        <v>8</v>
      </c>
      <c r="L5" s="5">
        <f>MONTH(Salesdata[[#This Row],[Order Date]])</f>
        <v>1</v>
      </c>
    </row>
    <row r="6" spans="1:12">
      <c r="A6">
        <v>1005</v>
      </c>
      <c r="B6" s="1">
        <v>46029</v>
      </c>
      <c r="C6" t="s">
        <v>11</v>
      </c>
      <c r="D6" t="s">
        <v>59</v>
      </c>
      <c r="E6" t="s">
        <v>67</v>
      </c>
      <c r="F6" t="s">
        <v>71</v>
      </c>
      <c r="G6">
        <v>4</v>
      </c>
      <c r="H6">
        <v>2000</v>
      </c>
      <c r="I6">
        <v>8000</v>
      </c>
      <c r="J6" t="s">
        <v>78</v>
      </c>
      <c r="K6" t="s">
        <v>80</v>
      </c>
      <c r="L6" s="5">
        <f>MONTH(Salesdata[[#This Row],[Order Date]])</f>
        <v>1</v>
      </c>
    </row>
    <row r="7" spans="1:12">
      <c r="A7">
        <v>1006</v>
      </c>
      <c r="B7" s="1">
        <v>46031</v>
      </c>
      <c r="C7" t="s">
        <v>12</v>
      </c>
      <c r="D7" t="s">
        <v>58</v>
      </c>
      <c r="E7" t="s">
        <v>63</v>
      </c>
      <c r="F7" t="s">
        <v>70</v>
      </c>
      <c r="G7">
        <v>1</v>
      </c>
      <c r="H7">
        <v>62000</v>
      </c>
      <c r="I7">
        <v>62000</v>
      </c>
      <c r="J7" t="s">
        <v>76</v>
      </c>
      <c r="K7" t="s">
        <v>81</v>
      </c>
      <c r="L7" s="5">
        <f>MONTH(Salesdata[[#This Row],[Order Date]])</f>
        <v>1</v>
      </c>
    </row>
    <row r="8" spans="1:12">
      <c r="A8">
        <v>1007</v>
      </c>
      <c r="B8" s="1">
        <v>46033</v>
      </c>
      <c r="C8" t="s">
        <v>13</v>
      </c>
      <c r="D8" t="s">
        <v>61</v>
      </c>
      <c r="E8" t="s">
        <v>65</v>
      </c>
      <c r="F8" t="s">
        <v>71</v>
      </c>
      <c r="G8">
        <v>5</v>
      </c>
      <c r="H8">
        <v>1400</v>
      </c>
      <c r="I8">
        <v>7000</v>
      </c>
      <c r="J8" t="s">
        <v>77</v>
      </c>
      <c r="K8" t="s">
        <v>82</v>
      </c>
      <c r="L8" s="5">
        <f>MONTH(Salesdata[[#This Row],[Order Date]])</f>
        <v>1</v>
      </c>
    </row>
    <row r="9" spans="1:12">
      <c r="A9">
        <v>1008</v>
      </c>
      <c r="B9" s="1">
        <v>46035</v>
      </c>
      <c r="C9" t="s">
        <v>14</v>
      </c>
      <c r="D9" t="s">
        <v>58</v>
      </c>
      <c r="E9" t="s">
        <v>68</v>
      </c>
      <c r="F9" t="s">
        <v>70</v>
      </c>
      <c r="G9">
        <v>1</v>
      </c>
      <c r="H9">
        <v>15000</v>
      </c>
      <c r="I9">
        <v>15000</v>
      </c>
      <c r="J9" t="s">
        <v>78</v>
      </c>
      <c r="K9" t="s">
        <v>8</v>
      </c>
      <c r="L9" s="5">
        <f>MONTH(Salesdata[[#This Row],[Order Date]])</f>
        <v>1</v>
      </c>
    </row>
    <row r="10" spans="1:12">
      <c r="A10">
        <v>1009</v>
      </c>
      <c r="B10" s="1">
        <v>46037</v>
      </c>
      <c r="C10" t="s">
        <v>15</v>
      </c>
      <c r="D10" t="s">
        <v>59</v>
      </c>
      <c r="E10" t="s">
        <v>64</v>
      </c>
      <c r="F10" t="s">
        <v>71</v>
      </c>
      <c r="G10">
        <v>6</v>
      </c>
      <c r="H10">
        <v>750</v>
      </c>
      <c r="I10">
        <v>4500</v>
      </c>
      <c r="J10" t="s">
        <v>76</v>
      </c>
      <c r="K10" t="s">
        <v>80</v>
      </c>
      <c r="L10" s="5">
        <f>MONTH(Salesdata[[#This Row],[Order Date]])</f>
        <v>1</v>
      </c>
    </row>
    <row r="11" spans="1:12">
      <c r="A11">
        <v>1010</v>
      </c>
      <c r="B11" s="1">
        <v>46039</v>
      </c>
      <c r="C11" t="s">
        <v>16</v>
      </c>
      <c r="D11" t="s">
        <v>60</v>
      </c>
      <c r="E11" t="s">
        <v>66</v>
      </c>
      <c r="F11" t="s">
        <v>70</v>
      </c>
      <c r="G11">
        <v>2</v>
      </c>
      <c r="H11">
        <v>11000</v>
      </c>
      <c r="I11">
        <v>22000</v>
      </c>
      <c r="J11" t="s">
        <v>78</v>
      </c>
      <c r="K11" t="s">
        <v>81</v>
      </c>
      <c r="L11" s="5">
        <f>MONTH(Salesdata[[#This Row],[Order Date]])</f>
        <v>1</v>
      </c>
    </row>
    <row r="12" spans="1:12">
      <c r="A12">
        <v>1011</v>
      </c>
      <c r="B12" s="1">
        <v>46041</v>
      </c>
      <c r="C12" t="s">
        <v>17</v>
      </c>
      <c r="D12" t="s">
        <v>58</v>
      </c>
      <c r="E12" t="s">
        <v>67</v>
      </c>
      <c r="F12" t="s">
        <v>71</v>
      </c>
      <c r="G12">
        <v>3</v>
      </c>
      <c r="H12">
        <v>2200</v>
      </c>
      <c r="I12">
        <v>6600</v>
      </c>
      <c r="J12" t="s">
        <v>77</v>
      </c>
      <c r="K12" t="s">
        <v>82</v>
      </c>
      <c r="L12" s="5">
        <f>MONTH(Salesdata[[#This Row],[Order Date]])</f>
        <v>1</v>
      </c>
    </row>
    <row r="13" spans="1:12">
      <c r="A13">
        <v>1012</v>
      </c>
      <c r="B13" s="1">
        <v>46043</v>
      </c>
      <c r="C13" t="s">
        <v>18</v>
      </c>
      <c r="D13" t="s">
        <v>59</v>
      </c>
      <c r="E13" t="s">
        <v>63</v>
      </c>
      <c r="F13" t="s">
        <v>70</v>
      </c>
      <c r="G13">
        <v>1</v>
      </c>
      <c r="H13">
        <v>58000</v>
      </c>
      <c r="I13">
        <v>58000</v>
      </c>
      <c r="J13" t="s">
        <v>76</v>
      </c>
      <c r="K13" t="s">
        <v>8</v>
      </c>
      <c r="L13" s="5">
        <f>MONTH(Salesdata[[#This Row],[Order Date]])</f>
        <v>1</v>
      </c>
    </row>
    <row r="14" spans="1:12">
      <c r="A14">
        <v>1013</v>
      </c>
      <c r="B14" s="1">
        <v>46045</v>
      </c>
      <c r="C14" t="s">
        <v>19</v>
      </c>
      <c r="D14" t="s">
        <v>61</v>
      </c>
      <c r="E14" t="s">
        <v>68</v>
      </c>
      <c r="F14" t="s">
        <v>70</v>
      </c>
      <c r="G14">
        <v>2</v>
      </c>
      <c r="H14">
        <v>14000</v>
      </c>
      <c r="I14">
        <v>28000</v>
      </c>
      <c r="J14" t="s">
        <v>78</v>
      </c>
      <c r="K14" t="s">
        <v>80</v>
      </c>
      <c r="L14" s="5">
        <f>MONTH(Salesdata[[#This Row],[Order Date]])</f>
        <v>1</v>
      </c>
    </row>
    <row r="15" spans="1:12">
      <c r="A15">
        <v>1014</v>
      </c>
      <c r="B15" s="1">
        <v>46047</v>
      </c>
      <c r="C15" t="s">
        <v>20</v>
      </c>
      <c r="D15" t="s">
        <v>58</v>
      </c>
      <c r="E15" t="s">
        <v>64</v>
      </c>
      <c r="F15" t="s">
        <v>71</v>
      </c>
      <c r="G15">
        <v>5</v>
      </c>
      <c r="H15">
        <v>900</v>
      </c>
      <c r="I15">
        <v>4500</v>
      </c>
      <c r="J15" t="s">
        <v>76</v>
      </c>
      <c r="K15" t="s">
        <v>81</v>
      </c>
      <c r="L15" s="5">
        <f>MONTH(Salesdata[[#This Row],[Order Date]])</f>
        <v>1</v>
      </c>
    </row>
    <row r="16" spans="1:12">
      <c r="A16">
        <v>1015</v>
      </c>
      <c r="B16" s="1">
        <v>46049</v>
      </c>
      <c r="C16" t="s">
        <v>21</v>
      </c>
      <c r="D16" t="s">
        <v>59</v>
      </c>
      <c r="E16" t="s">
        <v>65</v>
      </c>
      <c r="F16" t="s">
        <v>71</v>
      </c>
      <c r="G16">
        <v>3</v>
      </c>
      <c r="H16">
        <v>1600</v>
      </c>
      <c r="I16">
        <v>4800</v>
      </c>
      <c r="J16" t="s">
        <v>77</v>
      </c>
      <c r="K16" t="s">
        <v>82</v>
      </c>
      <c r="L16" s="5">
        <f>MONTH(Salesdata[[#This Row],[Order Date]])</f>
        <v>1</v>
      </c>
    </row>
    <row r="17" spans="1:12">
      <c r="A17">
        <v>1016</v>
      </c>
      <c r="B17" s="1">
        <v>46051</v>
      </c>
      <c r="C17" t="s">
        <v>22</v>
      </c>
      <c r="D17" t="s">
        <v>58</v>
      </c>
      <c r="E17" t="s">
        <v>66</v>
      </c>
      <c r="F17" t="s">
        <v>70</v>
      </c>
      <c r="G17">
        <v>1</v>
      </c>
      <c r="H17">
        <v>12500</v>
      </c>
      <c r="I17">
        <v>12500</v>
      </c>
      <c r="J17" t="s">
        <v>78</v>
      </c>
      <c r="K17" t="s">
        <v>8</v>
      </c>
      <c r="L17" s="5">
        <f>MONTH(Salesdata[[#This Row],[Order Date]])</f>
        <v>1</v>
      </c>
    </row>
    <row r="18" spans="1:12">
      <c r="A18">
        <v>1017</v>
      </c>
      <c r="B18" s="1">
        <v>46054</v>
      </c>
      <c r="C18" t="s">
        <v>23</v>
      </c>
      <c r="D18" t="s">
        <v>60</v>
      </c>
      <c r="E18" t="s">
        <v>63</v>
      </c>
      <c r="F18" t="s">
        <v>70</v>
      </c>
      <c r="G18">
        <v>1</v>
      </c>
      <c r="H18">
        <v>60000</v>
      </c>
      <c r="I18">
        <v>60000</v>
      </c>
      <c r="J18" t="s">
        <v>76</v>
      </c>
      <c r="K18" t="s">
        <v>80</v>
      </c>
      <c r="L18" s="5">
        <f>MONTH(Salesdata[[#This Row],[Order Date]])</f>
        <v>2</v>
      </c>
    </row>
    <row r="19" spans="1:12">
      <c r="A19">
        <v>1018</v>
      </c>
      <c r="B19" s="1">
        <v>46056</v>
      </c>
      <c r="C19" t="s">
        <v>24</v>
      </c>
      <c r="D19" t="s">
        <v>58</v>
      </c>
      <c r="E19" t="s">
        <v>67</v>
      </c>
      <c r="F19" t="s">
        <v>71</v>
      </c>
      <c r="G19">
        <v>5</v>
      </c>
      <c r="H19">
        <v>2100</v>
      </c>
      <c r="I19">
        <v>10500</v>
      </c>
      <c r="J19" t="s">
        <v>77</v>
      </c>
      <c r="K19" t="s">
        <v>81</v>
      </c>
      <c r="L19" s="5">
        <f>MONTH(Salesdata[[#This Row],[Order Date]])</f>
        <v>2</v>
      </c>
    </row>
    <row r="20" spans="1:12">
      <c r="A20">
        <v>1019</v>
      </c>
      <c r="B20" s="1">
        <v>46058</v>
      </c>
      <c r="C20" t="s">
        <v>25</v>
      </c>
      <c r="D20" t="s">
        <v>59</v>
      </c>
      <c r="E20" t="s">
        <v>68</v>
      </c>
      <c r="F20" t="s">
        <v>70</v>
      </c>
      <c r="G20">
        <v>1</v>
      </c>
      <c r="H20">
        <v>15500</v>
      </c>
      <c r="I20">
        <v>15500</v>
      </c>
      <c r="J20" t="s">
        <v>78</v>
      </c>
      <c r="K20" t="s">
        <v>82</v>
      </c>
      <c r="L20" s="5">
        <f>MONTH(Salesdata[[#This Row],[Order Date]])</f>
        <v>2</v>
      </c>
    </row>
    <row r="21" spans="1:12">
      <c r="A21">
        <v>1020</v>
      </c>
      <c r="B21" s="1">
        <v>46060</v>
      </c>
      <c r="C21" t="s">
        <v>26</v>
      </c>
      <c r="D21" t="s">
        <v>58</v>
      </c>
      <c r="E21" t="s">
        <v>64</v>
      </c>
      <c r="F21" t="s">
        <v>71</v>
      </c>
      <c r="G21">
        <v>4</v>
      </c>
      <c r="H21">
        <v>850</v>
      </c>
      <c r="I21">
        <v>3400</v>
      </c>
      <c r="J21" t="s">
        <v>76</v>
      </c>
      <c r="K21" t="s">
        <v>8</v>
      </c>
      <c r="L21" s="5">
        <f>MONTH(Salesdata[[#This Row],[Order Date]])</f>
        <v>2</v>
      </c>
    </row>
    <row r="22" spans="1:12">
      <c r="A22">
        <v>1021</v>
      </c>
      <c r="B22" s="1">
        <v>46062</v>
      </c>
      <c r="C22" t="s">
        <v>27</v>
      </c>
      <c r="D22" t="s">
        <v>61</v>
      </c>
      <c r="E22" t="s">
        <v>65</v>
      </c>
      <c r="F22" t="s">
        <v>71</v>
      </c>
      <c r="G22">
        <v>6</v>
      </c>
      <c r="H22">
        <v>1450</v>
      </c>
      <c r="I22">
        <v>8700</v>
      </c>
      <c r="J22" t="s">
        <v>77</v>
      </c>
      <c r="K22" t="s">
        <v>80</v>
      </c>
      <c r="L22" s="5">
        <f>MONTH(Salesdata[[#This Row],[Order Date]])</f>
        <v>2</v>
      </c>
    </row>
    <row r="23" spans="1:12">
      <c r="A23">
        <v>1022</v>
      </c>
      <c r="B23" s="1">
        <v>46064</v>
      </c>
      <c r="C23" t="s">
        <v>28</v>
      </c>
      <c r="D23" t="s">
        <v>59</v>
      </c>
      <c r="E23" t="s">
        <v>66</v>
      </c>
      <c r="F23" t="s">
        <v>70</v>
      </c>
      <c r="G23">
        <v>2</v>
      </c>
      <c r="H23">
        <v>11500</v>
      </c>
      <c r="I23">
        <v>23000</v>
      </c>
      <c r="J23" t="s">
        <v>78</v>
      </c>
      <c r="K23" t="s">
        <v>81</v>
      </c>
      <c r="L23" s="5">
        <f>MONTH(Salesdata[[#This Row],[Order Date]])</f>
        <v>2</v>
      </c>
    </row>
    <row r="24" spans="1:12">
      <c r="A24">
        <v>1023</v>
      </c>
      <c r="B24" s="1">
        <v>46066</v>
      </c>
      <c r="C24" t="s">
        <v>29</v>
      </c>
      <c r="D24" t="s">
        <v>58</v>
      </c>
      <c r="E24" t="s">
        <v>63</v>
      </c>
      <c r="F24" t="s">
        <v>70</v>
      </c>
      <c r="G24">
        <v>1</v>
      </c>
      <c r="H24">
        <v>57000</v>
      </c>
      <c r="I24">
        <v>57000</v>
      </c>
      <c r="J24" t="s">
        <v>76</v>
      </c>
      <c r="K24" t="s">
        <v>82</v>
      </c>
      <c r="L24" s="5">
        <f>MONTH(Salesdata[[#This Row],[Order Date]])</f>
        <v>2</v>
      </c>
    </row>
    <row r="25" spans="1:12">
      <c r="A25">
        <v>1024</v>
      </c>
      <c r="B25" s="1">
        <v>46068</v>
      </c>
      <c r="C25" t="s">
        <v>30</v>
      </c>
      <c r="D25" t="s">
        <v>60</v>
      </c>
      <c r="E25" t="s">
        <v>67</v>
      </c>
      <c r="F25" t="s">
        <v>71</v>
      </c>
      <c r="G25">
        <v>2</v>
      </c>
      <c r="H25">
        <v>2300</v>
      </c>
      <c r="I25">
        <v>4600</v>
      </c>
      <c r="J25" t="s">
        <v>77</v>
      </c>
      <c r="K25" t="s">
        <v>8</v>
      </c>
      <c r="L25" s="5">
        <f>MONTH(Salesdata[[#This Row],[Order Date]])</f>
        <v>2</v>
      </c>
    </row>
    <row r="26" spans="1:12">
      <c r="A26">
        <v>1025</v>
      </c>
      <c r="B26" s="1">
        <v>46070</v>
      </c>
      <c r="C26" t="s">
        <v>31</v>
      </c>
      <c r="D26" t="s">
        <v>58</v>
      </c>
      <c r="E26" t="s">
        <v>68</v>
      </c>
      <c r="F26" t="s">
        <v>70</v>
      </c>
      <c r="G26">
        <v>1</v>
      </c>
      <c r="H26">
        <v>16000</v>
      </c>
      <c r="I26">
        <v>16000</v>
      </c>
      <c r="J26" t="s">
        <v>78</v>
      </c>
      <c r="K26" t="s">
        <v>80</v>
      </c>
      <c r="L26" s="5">
        <f>MONTH(Salesdata[[#This Row],[Order Date]])</f>
        <v>2</v>
      </c>
    </row>
    <row r="27" spans="1:12">
      <c r="A27">
        <v>1026</v>
      </c>
      <c r="B27" s="1">
        <v>46072</v>
      </c>
      <c r="C27" t="s">
        <v>32</v>
      </c>
      <c r="D27" t="s">
        <v>59</v>
      </c>
      <c r="E27" t="s">
        <v>64</v>
      </c>
      <c r="F27" t="s">
        <v>71</v>
      </c>
      <c r="G27">
        <v>7</v>
      </c>
      <c r="H27">
        <v>800</v>
      </c>
      <c r="I27">
        <v>5600</v>
      </c>
      <c r="J27" t="s">
        <v>76</v>
      </c>
      <c r="K27" t="s">
        <v>81</v>
      </c>
      <c r="L27" s="5">
        <f>MONTH(Salesdata[[#This Row],[Order Date]])</f>
        <v>2</v>
      </c>
    </row>
    <row r="28" spans="1:12">
      <c r="A28">
        <v>1027</v>
      </c>
      <c r="B28" s="1">
        <v>46074</v>
      </c>
      <c r="C28" t="s">
        <v>33</v>
      </c>
      <c r="D28" t="s">
        <v>58</v>
      </c>
      <c r="E28" t="s">
        <v>65</v>
      </c>
      <c r="F28" t="s">
        <v>71</v>
      </c>
      <c r="G28">
        <v>4</v>
      </c>
      <c r="H28">
        <v>1550</v>
      </c>
      <c r="I28">
        <v>6200</v>
      </c>
      <c r="J28" t="s">
        <v>77</v>
      </c>
      <c r="K28" t="s">
        <v>82</v>
      </c>
      <c r="L28" s="5">
        <f>MONTH(Salesdata[[#This Row],[Order Date]])</f>
        <v>2</v>
      </c>
    </row>
    <row r="29" spans="1:12">
      <c r="A29">
        <v>1028</v>
      </c>
      <c r="B29" s="1">
        <v>46076</v>
      </c>
      <c r="C29" t="s">
        <v>34</v>
      </c>
      <c r="D29" t="s">
        <v>61</v>
      </c>
      <c r="E29" t="s">
        <v>66</v>
      </c>
      <c r="F29" t="s">
        <v>70</v>
      </c>
      <c r="G29">
        <v>1</v>
      </c>
      <c r="H29">
        <v>11800</v>
      </c>
      <c r="I29">
        <v>11800</v>
      </c>
      <c r="J29" t="s">
        <v>78</v>
      </c>
      <c r="K29" t="s">
        <v>8</v>
      </c>
      <c r="L29" s="5">
        <f>MONTH(Salesdata[[#This Row],[Order Date]])</f>
        <v>2</v>
      </c>
    </row>
    <row r="30" spans="1:12">
      <c r="A30">
        <v>1029</v>
      </c>
      <c r="B30" s="1">
        <v>46078</v>
      </c>
      <c r="C30" t="s">
        <v>35</v>
      </c>
      <c r="D30" t="s">
        <v>59</v>
      </c>
      <c r="E30" t="s">
        <v>63</v>
      </c>
      <c r="F30" t="s">
        <v>70</v>
      </c>
      <c r="G30">
        <v>1</v>
      </c>
      <c r="H30">
        <v>61000</v>
      </c>
      <c r="I30">
        <v>61000</v>
      </c>
      <c r="J30" t="s">
        <v>76</v>
      </c>
      <c r="K30" t="s">
        <v>80</v>
      </c>
      <c r="L30" s="5">
        <f>MONTH(Salesdata[[#This Row],[Order Date]])</f>
        <v>2</v>
      </c>
    </row>
    <row r="31" spans="1:12">
      <c r="A31">
        <v>1030</v>
      </c>
      <c r="B31" s="1">
        <v>46080</v>
      </c>
      <c r="C31" t="s">
        <v>36</v>
      </c>
      <c r="D31" t="s">
        <v>58</v>
      </c>
      <c r="E31" t="s">
        <v>67</v>
      </c>
      <c r="F31" t="s">
        <v>71</v>
      </c>
      <c r="G31">
        <v>6</v>
      </c>
      <c r="H31">
        <v>2000</v>
      </c>
      <c r="I31">
        <v>12000</v>
      </c>
      <c r="J31" t="s">
        <v>77</v>
      </c>
      <c r="K31" t="s">
        <v>81</v>
      </c>
      <c r="L31" s="5">
        <f>MONTH(Salesdata[[#This Row],[Order Date]])</f>
        <v>2</v>
      </c>
    </row>
    <row r="32" spans="1:12">
      <c r="A32">
        <v>1031</v>
      </c>
      <c r="B32" s="1">
        <v>46082</v>
      </c>
      <c r="C32" t="s">
        <v>37</v>
      </c>
      <c r="D32" t="s">
        <v>59</v>
      </c>
      <c r="E32" t="s">
        <v>68</v>
      </c>
      <c r="F32" t="s">
        <v>70</v>
      </c>
      <c r="G32">
        <v>2</v>
      </c>
      <c r="H32">
        <v>15000</v>
      </c>
      <c r="I32">
        <v>30000</v>
      </c>
      <c r="J32" t="s">
        <v>78</v>
      </c>
      <c r="K32" t="s">
        <v>82</v>
      </c>
      <c r="L32" s="5">
        <f>MONTH(Salesdata[[#This Row],[Order Date]])</f>
        <v>3</v>
      </c>
    </row>
    <row r="33" spans="1:12">
      <c r="A33">
        <v>1032</v>
      </c>
      <c r="B33" s="1">
        <v>46084</v>
      </c>
      <c r="C33" t="s">
        <v>38</v>
      </c>
      <c r="D33" t="s">
        <v>58</v>
      </c>
      <c r="E33" t="s">
        <v>64</v>
      </c>
      <c r="F33" t="s">
        <v>71</v>
      </c>
      <c r="G33">
        <v>5</v>
      </c>
      <c r="H33">
        <v>850</v>
      </c>
      <c r="I33">
        <v>4250</v>
      </c>
      <c r="J33" t="s">
        <v>76</v>
      </c>
      <c r="K33" t="s">
        <v>8</v>
      </c>
      <c r="L33" s="5">
        <f>MONTH(Salesdata[[#This Row],[Order Date]])</f>
        <v>3</v>
      </c>
    </row>
    <row r="34" spans="1:12">
      <c r="A34">
        <v>1033</v>
      </c>
      <c r="B34" s="1">
        <v>46086</v>
      </c>
      <c r="C34" t="s">
        <v>39</v>
      </c>
      <c r="D34" t="s">
        <v>60</v>
      </c>
      <c r="E34" t="s">
        <v>63</v>
      </c>
      <c r="F34" t="s">
        <v>70</v>
      </c>
      <c r="G34">
        <v>1</v>
      </c>
      <c r="H34">
        <v>59000</v>
      </c>
      <c r="I34">
        <v>59000</v>
      </c>
      <c r="J34" t="s">
        <v>76</v>
      </c>
      <c r="K34" t="s">
        <v>80</v>
      </c>
      <c r="L34" s="5">
        <f>MONTH(Salesdata[[#This Row],[Order Date]])</f>
        <v>3</v>
      </c>
    </row>
    <row r="35" spans="1:12">
      <c r="A35">
        <v>1034</v>
      </c>
      <c r="B35" s="1">
        <v>46088</v>
      </c>
      <c r="C35" t="s">
        <v>40</v>
      </c>
      <c r="D35" t="s">
        <v>58</v>
      </c>
      <c r="E35" t="s">
        <v>65</v>
      </c>
      <c r="F35" t="s">
        <v>71</v>
      </c>
      <c r="G35">
        <v>3</v>
      </c>
      <c r="H35">
        <v>1500</v>
      </c>
      <c r="I35">
        <v>4500</v>
      </c>
      <c r="J35" t="s">
        <v>77</v>
      </c>
      <c r="K35" t="s">
        <v>81</v>
      </c>
      <c r="L35" s="5">
        <f>MONTH(Salesdata[[#This Row],[Order Date]])</f>
        <v>3</v>
      </c>
    </row>
    <row r="36" spans="1:12">
      <c r="A36">
        <v>1035</v>
      </c>
      <c r="B36" s="1">
        <v>46090</v>
      </c>
      <c r="C36" t="s">
        <v>41</v>
      </c>
      <c r="D36" t="s">
        <v>59</v>
      </c>
      <c r="E36" t="s">
        <v>66</v>
      </c>
      <c r="F36" t="s">
        <v>70</v>
      </c>
      <c r="G36">
        <v>2</v>
      </c>
      <c r="H36">
        <v>12000</v>
      </c>
      <c r="I36">
        <v>24000</v>
      </c>
      <c r="J36" t="s">
        <v>78</v>
      </c>
      <c r="K36" t="s">
        <v>82</v>
      </c>
      <c r="L36" s="5">
        <f>MONTH(Salesdata[[#This Row],[Order Date]])</f>
        <v>3</v>
      </c>
    </row>
    <row r="37" spans="1:12">
      <c r="A37">
        <v>1036</v>
      </c>
      <c r="B37" s="1">
        <v>46092</v>
      </c>
      <c r="C37" t="s">
        <v>42</v>
      </c>
      <c r="D37" t="s">
        <v>58</v>
      </c>
      <c r="E37" t="s">
        <v>67</v>
      </c>
      <c r="F37" t="s">
        <v>71</v>
      </c>
      <c r="G37">
        <v>4</v>
      </c>
      <c r="H37">
        <v>2150</v>
      </c>
      <c r="I37">
        <v>8600</v>
      </c>
      <c r="J37" t="s">
        <v>76</v>
      </c>
      <c r="K37" t="s">
        <v>8</v>
      </c>
      <c r="L37" s="5">
        <f>MONTH(Salesdata[[#This Row],[Order Date]])</f>
        <v>3</v>
      </c>
    </row>
    <row r="38" spans="1:12">
      <c r="A38">
        <v>1037</v>
      </c>
      <c r="B38" s="1">
        <v>46094</v>
      </c>
      <c r="C38" t="s">
        <v>43</v>
      </c>
      <c r="D38" t="s">
        <v>61</v>
      </c>
      <c r="E38" t="s">
        <v>68</v>
      </c>
      <c r="F38" t="s">
        <v>70</v>
      </c>
      <c r="G38">
        <v>1</v>
      </c>
      <c r="H38">
        <v>14500</v>
      </c>
      <c r="I38">
        <v>14500</v>
      </c>
      <c r="J38" t="s">
        <v>78</v>
      </c>
      <c r="K38" t="s">
        <v>80</v>
      </c>
      <c r="L38" s="5">
        <f>MONTH(Salesdata[[#This Row],[Order Date]])</f>
        <v>3</v>
      </c>
    </row>
    <row r="39" spans="1:12">
      <c r="A39">
        <v>1038</v>
      </c>
      <c r="B39" s="1">
        <v>46096</v>
      </c>
      <c r="C39" t="s">
        <v>44</v>
      </c>
      <c r="D39" t="s">
        <v>59</v>
      </c>
      <c r="E39" t="s">
        <v>64</v>
      </c>
      <c r="F39" t="s">
        <v>71</v>
      </c>
      <c r="G39">
        <v>8</v>
      </c>
      <c r="H39">
        <v>780</v>
      </c>
      <c r="I39">
        <v>6240</v>
      </c>
      <c r="J39" t="s">
        <v>77</v>
      </c>
      <c r="K39" t="s">
        <v>81</v>
      </c>
      <c r="L39" s="5">
        <f>MONTH(Salesdata[[#This Row],[Order Date]])</f>
        <v>3</v>
      </c>
    </row>
    <row r="40" spans="1:12">
      <c r="A40">
        <v>1039</v>
      </c>
      <c r="B40" s="1">
        <v>46098</v>
      </c>
      <c r="C40" t="s">
        <v>45</v>
      </c>
      <c r="D40" t="s">
        <v>58</v>
      </c>
      <c r="E40" t="s">
        <v>63</v>
      </c>
      <c r="F40" t="s">
        <v>70</v>
      </c>
      <c r="G40">
        <v>1</v>
      </c>
      <c r="H40">
        <v>63000</v>
      </c>
      <c r="I40">
        <v>63000</v>
      </c>
      <c r="J40" t="s">
        <v>76</v>
      </c>
      <c r="K40" t="s">
        <v>82</v>
      </c>
      <c r="L40" s="5">
        <f>MONTH(Salesdata[[#This Row],[Order Date]])</f>
        <v>3</v>
      </c>
    </row>
    <row r="41" spans="1:12">
      <c r="A41">
        <v>1040</v>
      </c>
      <c r="B41" s="1">
        <v>46100</v>
      </c>
      <c r="C41" t="s">
        <v>46</v>
      </c>
      <c r="D41" t="s">
        <v>60</v>
      </c>
      <c r="E41" t="s">
        <v>65</v>
      </c>
      <c r="F41" t="s">
        <v>71</v>
      </c>
      <c r="G41">
        <v>5</v>
      </c>
      <c r="H41">
        <v>1500</v>
      </c>
      <c r="I41">
        <v>7500</v>
      </c>
      <c r="J41" t="s">
        <v>77</v>
      </c>
      <c r="K41" t="s">
        <v>8</v>
      </c>
      <c r="L41" s="5">
        <f>MONTH(Salesdata[[#This Row],[Order Date]])</f>
        <v>3</v>
      </c>
    </row>
    <row r="42" spans="1:12">
      <c r="A42">
        <v>1041</v>
      </c>
      <c r="B42" s="1">
        <v>46102</v>
      </c>
      <c r="C42" t="s">
        <v>47</v>
      </c>
      <c r="D42" t="s">
        <v>59</v>
      </c>
      <c r="E42" t="s">
        <v>66</v>
      </c>
      <c r="F42" t="s">
        <v>70</v>
      </c>
      <c r="G42">
        <v>1</v>
      </c>
      <c r="H42">
        <v>11900</v>
      </c>
      <c r="I42">
        <v>11900</v>
      </c>
      <c r="J42" t="s">
        <v>78</v>
      </c>
      <c r="K42" t="s">
        <v>80</v>
      </c>
      <c r="L42" s="5">
        <f>MONTH(Salesdata[[#This Row],[Order Date]])</f>
        <v>3</v>
      </c>
    </row>
    <row r="43" spans="1:12">
      <c r="A43">
        <v>1042</v>
      </c>
      <c r="B43" s="1">
        <v>46104</v>
      </c>
      <c r="C43" t="s">
        <v>48</v>
      </c>
      <c r="D43" t="s">
        <v>58</v>
      </c>
      <c r="E43" t="s">
        <v>67</v>
      </c>
      <c r="F43" t="s">
        <v>71</v>
      </c>
      <c r="G43">
        <v>3</v>
      </c>
      <c r="H43">
        <v>2250</v>
      </c>
      <c r="I43">
        <v>6750</v>
      </c>
      <c r="J43" t="s">
        <v>76</v>
      </c>
      <c r="K43" t="s">
        <v>81</v>
      </c>
      <c r="L43" s="5">
        <f>MONTH(Salesdata[[#This Row],[Order Date]])</f>
        <v>3</v>
      </c>
    </row>
    <row r="44" spans="1:12">
      <c r="A44">
        <v>1043</v>
      </c>
      <c r="B44" s="1">
        <v>46106</v>
      </c>
      <c r="C44" t="s">
        <v>49</v>
      </c>
      <c r="D44" t="s">
        <v>61</v>
      </c>
      <c r="E44" t="s">
        <v>63</v>
      </c>
      <c r="F44" t="s">
        <v>70</v>
      </c>
      <c r="G44">
        <v>1</v>
      </c>
      <c r="H44">
        <v>60000</v>
      </c>
      <c r="I44">
        <v>60000</v>
      </c>
      <c r="J44" t="s">
        <v>78</v>
      </c>
      <c r="K44" t="s">
        <v>82</v>
      </c>
      <c r="L44" s="5">
        <f>MONTH(Salesdata[[#This Row],[Order Date]])</f>
        <v>3</v>
      </c>
    </row>
    <row r="45" spans="1:12">
      <c r="A45">
        <v>1044</v>
      </c>
      <c r="B45" s="1">
        <v>46108</v>
      </c>
      <c r="C45" t="s">
        <v>50</v>
      </c>
      <c r="D45" t="s">
        <v>59</v>
      </c>
      <c r="E45" t="s">
        <v>68</v>
      </c>
      <c r="F45" t="s">
        <v>70</v>
      </c>
      <c r="G45">
        <v>2</v>
      </c>
      <c r="H45">
        <v>15500</v>
      </c>
      <c r="I45">
        <v>31000</v>
      </c>
      <c r="J45" t="s">
        <v>76</v>
      </c>
      <c r="K45" t="s">
        <v>8</v>
      </c>
      <c r="L45" s="5">
        <f>MONTH(Salesdata[[#This Row],[Order Date]])</f>
        <v>3</v>
      </c>
    </row>
    <row r="46" spans="1:12">
      <c r="A46">
        <v>1045</v>
      </c>
      <c r="B46" s="1">
        <v>46110</v>
      </c>
      <c r="C46" t="s">
        <v>51</v>
      </c>
      <c r="D46" t="s">
        <v>58</v>
      </c>
      <c r="E46" t="s">
        <v>64</v>
      </c>
      <c r="F46" t="s">
        <v>71</v>
      </c>
      <c r="G46">
        <v>6</v>
      </c>
      <c r="H46">
        <v>820</v>
      </c>
      <c r="I46">
        <v>4920</v>
      </c>
      <c r="J46" t="s">
        <v>77</v>
      </c>
      <c r="K46" t="s">
        <v>80</v>
      </c>
      <c r="L46" s="5">
        <f>MONTH(Salesdata[[#This Row],[Order Date]])</f>
        <v>3</v>
      </c>
    </row>
    <row r="47" spans="1:12">
      <c r="A47">
        <v>1046</v>
      </c>
      <c r="B47" s="1">
        <v>46111</v>
      </c>
      <c r="C47" t="s">
        <v>52</v>
      </c>
      <c r="D47" t="s">
        <v>60</v>
      </c>
      <c r="E47" t="s">
        <v>65</v>
      </c>
      <c r="F47" t="s">
        <v>71</v>
      </c>
      <c r="G47">
        <v>4</v>
      </c>
      <c r="H47">
        <v>1450</v>
      </c>
      <c r="I47">
        <v>5800</v>
      </c>
      <c r="J47" t="s">
        <v>78</v>
      </c>
      <c r="K47" t="s">
        <v>81</v>
      </c>
      <c r="L47" s="5">
        <f>MONTH(Salesdata[[#This Row],[Order Date]])</f>
        <v>3</v>
      </c>
    </row>
    <row r="48" spans="1:12">
      <c r="A48">
        <v>1047</v>
      </c>
      <c r="B48" s="1">
        <v>46113</v>
      </c>
      <c r="C48" t="s">
        <v>53</v>
      </c>
      <c r="D48" t="s">
        <v>58</v>
      </c>
      <c r="E48" t="s">
        <v>63</v>
      </c>
      <c r="F48" t="s">
        <v>70</v>
      </c>
      <c r="G48">
        <v>1</v>
      </c>
      <c r="H48">
        <v>61000</v>
      </c>
      <c r="I48">
        <v>61000</v>
      </c>
      <c r="J48" t="s">
        <v>76</v>
      </c>
      <c r="K48" t="s">
        <v>82</v>
      </c>
      <c r="L48" s="5">
        <f>MONTH(Salesdata[[#This Row],[Order Date]])</f>
        <v>4</v>
      </c>
    </row>
    <row r="49" spans="1:12">
      <c r="A49">
        <v>1048</v>
      </c>
      <c r="B49" s="1">
        <v>46115</v>
      </c>
      <c r="C49" t="s">
        <v>54</v>
      </c>
      <c r="D49" t="s">
        <v>59</v>
      </c>
      <c r="E49" t="s">
        <v>66</v>
      </c>
      <c r="F49" t="s">
        <v>70</v>
      </c>
      <c r="G49">
        <v>2</v>
      </c>
      <c r="H49">
        <v>12000</v>
      </c>
      <c r="I49">
        <v>24000</v>
      </c>
      <c r="J49" t="s">
        <v>78</v>
      </c>
      <c r="K49" t="s">
        <v>8</v>
      </c>
      <c r="L49" s="5">
        <f>MONTH(Salesdata[[#This Row],[Order Date]])</f>
        <v>4</v>
      </c>
    </row>
    <row r="50" spans="1:12">
      <c r="A50">
        <v>1049</v>
      </c>
      <c r="B50" s="1">
        <v>46117</v>
      </c>
      <c r="C50" t="s">
        <v>55</v>
      </c>
      <c r="D50" t="s">
        <v>58</v>
      </c>
      <c r="E50" t="s">
        <v>67</v>
      </c>
      <c r="F50" t="s">
        <v>71</v>
      </c>
      <c r="G50">
        <v>5</v>
      </c>
      <c r="H50">
        <v>2100</v>
      </c>
      <c r="I50">
        <v>10500</v>
      </c>
      <c r="J50" t="s">
        <v>77</v>
      </c>
      <c r="K50" t="s">
        <v>80</v>
      </c>
      <c r="L50" s="5">
        <f>MONTH(Salesdata[[#This Row],[Order Date]])</f>
        <v>4</v>
      </c>
    </row>
    <row r="51" spans="1:12">
      <c r="A51">
        <v>1050</v>
      </c>
      <c r="B51" s="1">
        <v>46119</v>
      </c>
      <c r="C51" t="s">
        <v>56</v>
      </c>
      <c r="D51" t="s">
        <v>61</v>
      </c>
      <c r="E51" t="s">
        <v>68</v>
      </c>
      <c r="F51" t="s">
        <v>70</v>
      </c>
      <c r="G51">
        <v>1</v>
      </c>
      <c r="H51">
        <v>15000</v>
      </c>
      <c r="I51">
        <v>15000</v>
      </c>
      <c r="J51" t="s">
        <v>76</v>
      </c>
      <c r="K51" t="s">
        <v>81</v>
      </c>
      <c r="L51" s="5">
        <f>MONTH(Salesdata[[#This Row],[Order Date]])</f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B6" sqref="B6"/>
    </sheetView>
  </sheetViews>
  <sheetFormatPr defaultRowHeight="15"/>
  <cols>
    <col min="1" max="1" width="19.140625" bestFit="1" customWidth="1"/>
    <col min="4" max="4" width="14.5703125" bestFit="1" customWidth="1"/>
    <col min="5" max="5" width="10.42578125" bestFit="1" customWidth="1"/>
    <col min="10" max="10" width="11.7109375" bestFit="1" customWidth="1"/>
  </cols>
  <sheetData>
    <row r="1" spans="1:11">
      <c r="A1" t="s">
        <v>83</v>
      </c>
    </row>
    <row r="3" spans="1:11">
      <c r="A3" t="s">
        <v>84</v>
      </c>
      <c r="B3">
        <f>SUM('Raw data'!I:I)</f>
        <v>1053060</v>
      </c>
      <c r="D3" t="s">
        <v>70</v>
      </c>
      <c r="E3">
        <f>SUMIF(Salesdata[Category],Analysis!D3,Salesdata[Sales])</f>
        <v>902200</v>
      </c>
      <c r="G3" t="s">
        <v>90</v>
      </c>
      <c r="H3" t="s">
        <v>91</v>
      </c>
      <c r="J3" t="s">
        <v>79</v>
      </c>
      <c r="K3" t="s">
        <v>91</v>
      </c>
    </row>
    <row r="4" spans="1:11">
      <c r="D4" t="s">
        <v>89</v>
      </c>
      <c r="E4">
        <f>SUMIF(Salesdata[Category],Analysis!D4,Salesdata[Sales])</f>
        <v>150860</v>
      </c>
      <c r="G4" t="s">
        <v>58</v>
      </c>
      <c r="H4">
        <f>SUMIF('Raw data'!D28:D51,Analysis!G4,Salesdata[Unit Price])</f>
        <v>255450</v>
      </c>
      <c r="J4" t="s">
        <v>80</v>
      </c>
      <c r="K4">
        <f>SUMIF(Salesdata[Salesperson],Analysis!J4,Salesdata[Sales])</f>
        <v>342020</v>
      </c>
    </row>
    <row r="5" spans="1:11">
      <c r="A5" t="s">
        <v>86</v>
      </c>
      <c r="B5">
        <f>SUM('Raw data'!G:G)</f>
        <v>141</v>
      </c>
      <c r="D5" t="s">
        <v>84</v>
      </c>
      <c r="E5">
        <f>SUM(E3:E4)</f>
        <v>1053060</v>
      </c>
      <c r="G5" t="s">
        <v>59</v>
      </c>
      <c r="H5">
        <f>SUMIF('Raw data'!D29:D52,Analysis!G5,Salesdata[Unit Price])</f>
        <v>92350</v>
      </c>
      <c r="J5" t="s">
        <v>81</v>
      </c>
      <c r="K5">
        <f>SUMIF(Salesdata[Salesperson],Analysis!J5,Salesdata[Sales])</f>
        <v>180290</v>
      </c>
    </row>
    <row r="6" spans="1:11">
      <c r="G6" t="s">
        <v>60</v>
      </c>
      <c r="H6">
        <f>SUMIF('Raw data'!D30:D53,Analysis!G6,Salesdata[Unit Price])</f>
        <v>62100</v>
      </c>
      <c r="J6" t="s">
        <v>82</v>
      </c>
      <c r="K6">
        <f>SUMIF(Salesdata[Salesperson],Analysis!J6,Salesdata[Sales])</f>
        <v>338100</v>
      </c>
    </row>
    <row r="7" spans="1:11">
      <c r="G7" t="s">
        <v>61</v>
      </c>
      <c r="H7">
        <f>SUMIF('Raw data'!D31:D54,Analysis!G7,Salesdata[Unit Price])</f>
        <v>17350</v>
      </c>
      <c r="J7" t="s">
        <v>8</v>
      </c>
      <c r="K7">
        <f>SUMIF(Salesdata[Salesperson],Analysis!J7,Salesdata[Sales])</f>
        <v>192650</v>
      </c>
    </row>
    <row r="8" spans="1:11">
      <c r="A8" t="s">
        <v>85</v>
      </c>
      <c r="B8">
        <f>COUNTA(Salesdata[Order ID])</f>
        <v>50</v>
      </c>
    </row>
    <row r="9" spans="1:11">
      <c r="D9" t="s">
        <v>75</v>
      </c>
      <c r="E9" t="s">
        <v>91</v>
      </c>
    </row>
    <row r="10" spans="1:11">
      <c r="A10" t="s">
        <v>87</v>
      </c>
      <c r="B10">
        <f>B3/B8</f>
        <v>21061.200000000001</v>
      </c>
      <c r="D10" t="s">
        <v>76</v>
      </c>
      <c r="E10">
        <f>SUMIF(Salesdata[Payment Mode],Analysis!D10,Salesdata[Sales])</f>
        <v>631600</v>
      </c>
    </row>
    <row r="11" spans="1:11">
      <c r="D11" t="s">
        <v>77</v>
      </c>
      <c r="E11">
        <f>SUMIF(Salesdata[Payment Mode],Analysis!D11,Salesdata[Sales])</f>
        <v>96460</v>
      </c>
    </row>
    <row r="12" spans="1:11">
      <c r="A12" t="s">
        <v>62</v>
      </c>
      <c r="B12" t="s">
        <v>88</v>
      </c>
      <c r="D12" t="s">
        <v>78</v>
      </c>
      <c r="E12">
        <f>SUMIF(Salesdata[Payment Mode],Analysis!D12,Salesdata[Sales])</f>
        <v>325000</v>
      </c>
    </row>
    <row r="13" spans="1:11">
      <c r="A13" t="s">
        <v>63</v>
      </c>
      <c r="B13">
        <f>SUMIF(Salesdata[Product],Analysis!A13,Salesdata[Sales])</f>
        <v>596000</v>
      </c>
    </row>
    <row r="14" spans="1:11">
      <c r="A14" t="s">
        <v>64</v>
      </c>
      <c r="B14">
        <f>SUMIF(Salesdata[Product],Analysis!A14,Salesdata[Sales])</f>
        <v>35810</v>
      </c>
      <c r="D14" t="s">
        <v>92</v>
      </c>
      <c r="E14" t="s">
        <v>91</v>
      </c>
    </row>
    <row r="15" spans="1:11">
      <c r="A15" t="s">
        <v>65</v>
      </c>
      <c r="B15">
        <f>SUMIF(Salesdata[Product],Analysis!A15,Salesdata[Sales])</f>
        <v>47500</v>
      </c>
      <c r="D15" t="s">
        <v>93</v>
      </c>
      <c r="E15">
        <f>SUMIF(Salesdata[Month],1,Salesdata[Sales])</f>
        <v>305300</v>
      </c>
    </row>
    <row r="16" spans="1:11">
      <c r="A16" t="s">
        <v>66</v>
      </c>
      <c r="B16">
        <f>SUMIF(Salesdata[Product],Analysis!A16,Salesdata[Sales])</f>
        <v>141200</v>
      </c>
      <c r="D16" t="s">
        <v>94</v>
      </c>
      <c r="E16">
        <f>SUMIF(Salesdata[Month],2,Salesdata[Sales])</f>
        <v>295300</v>
      </c>
    </row>
    <row r="17" spans="1:5">
      <c r="A17" t="s">
        <v>67</v>
      </c>
      <c r="B17">
        <f>SUMIF(Salesdata[Product],Analysis!A17,Salesdata[Sales])</f>
        <v>67550</v>
      </c>
      <c r="D17" t="s">
        <v>95</v>
      </c>
      <c r="E17">
        <f>SUMIF(Salesdata[Month],3,Salesdata[Sales])</f>
        <v>341960</v>
      </c>
    </row>
    <row r="18" spans="1:5">
      <c r="A18" t="s">
        <v>68</v>
      </c>
      <c r="B18">
        <f>SUMIF(Salesdata[Product],Analysis!A18,Salesdata[Sales])</f>
        <v>165000</v>
      </c>
      <c r="D18" t="s">
        <v>96</v>
      </c>
      <c r="E18">
        <f>SUMIF(Salesdata[Month],4,Salesdata[Sales])</f>
        <v>110500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4"/>
  <sheetViews>
    <sheetView topLeftCell="A94" workbookViewId="0">
      <selection activeCell="L5" sqref="L5"/>
    </sheetView>
  </sheetViews>
  <sheetFormatPr defaultRowHeight="15"/>
  <cols>
    <col min="1" max="1" width="13.42578125" bestFit="1" customWidth="1"/>
    <col min="2" max="2" width="16.140625" bestFit="1" customWidth="1"/>
    <col min="3" max="3" width="14.140625" bestFit="1" customWidth="1"/>
    <col min="4" max="4" width="22.28515625" bestFit="1" customWidth="1"/>
  </cols>
  <sheetData>
    <row r="1" spans="1:8" ht="26.25">
      <c r="A1" s="11" t="s">
        <v>100</v>
      </c>
      <c r="B1" s="11"/>
      <c r="C1" s="11"/>
      <c r="D1" s="11"/>
      <c r="E1" s="11"/>
      <c r="F1" s="11"/>
      <c r="G1" s="11"/>
      <c r="H1" s="11"/>
    </row>
    <row r="3" spans="1:8">
      <c r="A3" s="7" t="s">
        <v>101</v>
      </c>
      <c r="B3" s="7" t="s">
        <v>102</v>
      </c>
      <c r="C3" s="7" t="s">
        <v>103</v>
      </c>
      <c r="D3" s="7" t="s">
        <v>104</v>
      </c>
    </row>
    <row r="4" spans="1:8">
      <c r="A4" s="8">
        <f>Analysis!B3</f>
        <v>1053060</v>
      </c>
      <c r="B4" s="7">
        <f>Analysis!B5</f>
        <v>141</v>
      </c>
      <c r="C4" s="7">
        <f>Analysis!B8</f>
        <v>50</v>
      </c>
      <c r="D4" s="8">
        <f>Analysis!B10</f>
        <v>21061.200000000001</v>
      </c>
    </row>
    <row r="28" spans="1:8" ht="23.25">
      <c r="A28" s="12" t="s">
        <v>105</v>
      </c>
      <c r="B28" s="12"/>
      <c r="C28" s="12"/>
      <c r="D28" s="12"/>
      <c r="E28" s="12"/>
      <c r="F28" s="12"/>
      <c r="G28" s="12"/>
      <c r="H28" s="12"/>
    </row>
    <row r="34" spans="1:5" ht="90">
      <c r="A34" s="10" t="s">
        <v>106</v>
      </c>
      <c r="B34" s="9" t="s">
        <v>107</v>
      </c>
      <c r="C34" s="9" t="s">
        <v>108</v>
      </c>
      <c r="D34" s="9" t="s">
        <v>109</v>
      </c>
      <c r="E34" s="9" t="s">
        <v>110</v>
      </c>
    </row>
  </sheetData>
  <mergeCells count="2">
    <mergeCell ref="A1:H1"/>
    <mergeCell ref="A28:H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Sheet1</vt:lpstr>
      <vt:lpstr>Sheet4</vt:lpstr>
      <vt:lpstr>Sheet5</vt:lpstr>
      <vt:lpstr>Sheet6</vt:lpstr>
      <vt:lpstr>Sheet7</vt:lpstr>
      <vt:lpstr>Raw data</vt:lpstr>
      <vt:lpstr>Analysis</vt:lpstr>
      <vt:lpstr>dashboard</vt:lpstr>
      <vt:lpstr>Sheet9</vt:lpstr>
      <vt:lpstr>Sheet10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2026-10-05T17:30:36Z</dcterms:created>
  <dcterms:modified xsi:type="dcterms:W3CDTF">2026-10-10T09:29:20Z</dcterms:modified>
</cp:coreProperties>
</file>